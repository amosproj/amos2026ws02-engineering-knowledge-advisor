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3.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Definition of Done" sheetId="8" r:id="rId11"/>
    <sheet state="visible" name="Velocity Tracking" sheetId="9" r:id="rId12"/>
    <sheet state="visible" name="Velocity Chart" sheetId="10" r:id="rId13"/>
    <sheet state="visible" name="Mid-Project Release plan" sheetId="11" r:id="rId14"/>
    <sheet state="visible" name="Mid-Project Burn-Down" sheetId="12" r:id="rId15"/>
    <sheet state="visible" name="Final Project Release plan" sheetId="13" r:id="rId16"/>
    <sheet state="visible" name="Final Project Burn-Down" sheetId="14" r:id="rId17"/>
    <sheet state="visible" name="Documentation" sheetId="15" r:id="rId18"/>
    <sheet state="visible" name="Bill of Materials" sheetId="16" r:id="rId19"/>
    <sheet state="visible" name="Planning Poker" sheetId="17"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tc={2995cf3b-7c49-47a6-850b-f24aca83da27}</author>
  </authors>
  <commentList>
    <comment authorId="0" xr:uid="{2995cf3b-7c49-47a6-850b-f24aca83da27}" ref="B5">
      <text>
        <t xml:space="preserve">[Threaded comment]
 Your version of Excel allows you to read this threaded comment; however, any edits to it will get removed if the file is opened in a newer version of Excel. Learn more: https://go.microsoft.com/fwlink/?linkid=870924
Comment:
	Ask for permission to protect the main branch.
Reply:
	Ask on moodle regarding squashing
</t>
      </text>
    </comment>
  </commentList>
</comments>
</file>

<file path=xl/sharedStrings.xml><?xml version="1.0" encoding="utf-8"?>
<sst xmlns="http://schemas.openxmlformats.org/spreadsheetml/2006/main" count="245" uniqueCount="158">
  <si>
    <t>Last Name</t>
  </si>
  <si>
    <t>Project Name</t>
  </si>
  <si>
    <t>Goals</t>
  </si>
  <si>
    <t>First Name</t>
  </si>
  <si>
    <t>GitHub User Name</t>
  </si>
  <si>
    <t>Email Address</t>
  </si>
  <si>
    <t>Product Owner</t>
  </si>
  <si>
    <t>Engineering Knowledge Advisor</t>
  </si>
  <si>
    <t>Medeiros da Cruz</t>
  </si>
  <si>
    <t>Team goal: Develop a high-quality, usable, and useful software solution for Bosch that addresses the company partner’s problem, while collaborating effectively, strengthening agile practices, and building industry connections.</t>
  </si>
  <si>
    <t>Yan</t>
  </si>
  <si>
    <t>Online team meeting</t>
  </si>
  <si>
    <t>yanmcruz</t>
  </si>
  <si>
    <t>https://fau.zoom-x.de/j/68492789151</t>
  </si>
  <si>
    <t>yan.medeiros.da.cruz@campus.tu-berlin.de</t>
  </si>
  <si>
    <t>#</t>
  </si>
  <si>
    <t>Pohl</t>
  </si>
  <si>
    <t>Christian</t>
  </si>
  <si>
    <t>ChristianJPohl</t>
  </si>
  <si>
    <t>christian.j.pohl@fau.de</t>
  </si>
  <si>
    <t>Meeting norms</t>
  </si>
  <si>
    <t>Meeting Day</t>
  </si>
  <si>
    <t>Wendlinger</t>
  </si>
  <si>
    <t>Tom</t>
  </si>
  <si>
    <t>Review</t>
  </si>
  <si>
    <t>tombln292</t>
  </si>
  <si>
    <t>tom.wendlinger@campus.tu-berlin.de</t>
  </si>
  <si>
    <t>Planning</t>
  </si>
  <si>
    <t xml:space="preserve">Meetings start at 12:30, and go on until 14:00. We start on time (let us know if there are any problems, if you won't attend or you will be late). Let us know in advance when you won't be able to attend, via whatsapp. We communicate outside of the team meetings on Discord (https://discord.gg/nmUEwuDyU). For every meeting there should be a moderator and time-keeper, to ensure the agenda is followed (scrum master/PO). There should be a meeting agenda prepared and sent beforehand. Meeting feedback will be prepared by the scrum master. Meeting summary will be prepared by the scrum master. </t>
  </si>
  <si>
    <t>Software Developer</t>
  </si>
  <si>
    <t>Drobischevskiy</t>
  </si>
  <si>
    <t>Release Manager</t>
  </si>
  <si>
    <t>Leonid</t>
  </si>
  <si>
    <t>le-db</t>
  </si>
  <si>
    <t>Working norms</t>
  </si>
  <si>
    <t>leonid.drobischevskiy@fau.de</t>
  </si>
  <si>
    <t>Scrum Master</t>
  </si>
  <si>
    <t>Comment</t>
  </si>
  <si>
    <t>We use pull requests and require a review. The main and dev branches is protected. We have a development branch. We do the release once a week (merge from dev to main). Code reviews for anything that goes into dev (require approval). Setup a CI pipeline. Autoformater. Do not squash commits; preferred is small commits for grading.</t>
  </si>
  <si>
    <t>Nadwornik</t>
  </si>
  <si>
    <t>Jost</t>
  </si>
  <si>
    <t>Jost-Na</t>
  </si>
  <si>
    <t>Coordination norms</t>
  </si>
  <si>
    <t>nadwornik@campus.tu-berlin.de</t>
  </si>
  <si>
    <t>POs will share the duties, week after week.</t>
  </si>
  <si>
    <t>Tenepo</t>
  </si>
  <si>
    <t>Franklin</t>
  </si>
  <si>
    <t>Communication norms</t>
  </si>
  <si>
    <t>franktronics</t>
  </si>
  <si>
    <t>We communicate in English. We expect replies as fast as possible, preferrably within 24h.</t>
  </si>
  <si>
    <t>wilson.f.tenepo@fau.de</t>
  </si>
  <si>
    <t>N/A</t>
  </si>
  <si>
    <t>Consideration norms</t>
  </si>
  <si>
    <t>Best</t>
  </si>
  <si>
    <t>We respect each other ideas. We don't fill up the commits with AI slop: make sure you use AI responsibly.</t>
  </si>
  <si>
    <t>Lisabeth</t>
  </si>
  <si>
    <t>Everyone else</t>
  </si>
  <si>
    <t>PeppermintCoding123</t>
  </si>
  <si>
    <t>lisabeth.hasse@fau.de</t>
  </si>
  <si>
    <t>Cont. improvement norms</t>
  </si>
  <si>
    <t>Khan</t>
  </si>
  <si>
    <t>Provide feedback on the team meeting. Whenever possible, share your best practices (on Discord or Team Meeting).</t>
  </si>
  <si>
    <t>Gulbaz</t>
  </si>
  <si>
    <t>mgulbazilyas</t>
  </si>
  <si>
    <t>Rewards</t>
  </si>
  <si>
    <t>gulbaz.khan@fau.de</t>
  </si>
  <si>
    <t>Pasewaldt</t>
  </si>
  <si>
    <t>Felix</t>
  </si>
  <si>
    <t>felixp33</t>
  </si>
  <si>
    <t>felix.pasewaldt@campus.tu-berlin.de</t>
  </si>
  <si>
    <t>Praise and appreciation upon good work! Share publicly or privately on Discord.</t>
  </si>
  <si>
    <t>Sanctions</t>
  </si>
  <si>
    <t>We don't think this can help team motivation</t>
  </si>
  <si>
    <t>Signatures</t>
  </si>
  <si>
    <t>Lisabeth Best</t>
  </si>
  <si>
    <t>Product owner</t>
  </si>
  <si>
    <t>Yan Medeiros da Cruz</t>
  </si>
  <si>
    <t>Tom Wendlinger</t>
  </si>
  <si>
    <t>Software developer</t>
  </si>
  <si>
    <t>Gulbaz Khan</t>
  </si>
  <si>
    <t>Christian Pohl</t>
  </si>
  <si>
    <t>Leonid Drobischevskiy</t>
  </si>
  <si>
    <t>Franklin Tenepo</t>
  </si>
  <si>
    <t>Felix Pasewaldt</t>
  </si>
  <si>
    <t>Jost Nadwornik</t>
  </si>
  <si>
    <t>Production system (if any)</t>
  </si>
  <si>
    <t>...</t>
  </si>
  <si>
    <t>Test system (if any)</t>
  </si>
  <si>
    <t>Ask: should be weekly defined?</t>
  </si>
  <si>
    <t>GitHub repository</t>
  </si>
  <si>
    <t>https://github.com/amosproj/amos2026ws02-engineering-knowledge-advisor</t>
  </si>
  <si>
    <t>Yan not present</t>
  </si>
  <si>
    <t>Mid-term due</t>
  </si>
  <si>
    <t>GitHub feature board</t>
  </si>
  <si>
    <t>https://github.com/orgs/amosproj/projects/110</t>
  </si>
  <si>
    <t>GitHub imp-squared backlog</t>
  </si>
  <si>
    <t>https://github.com/orgs/amosproj/projects/114</t>
  </si>
  <si>
    <t>Product Vision</t>
  </si>
  <si>
    <t>Position of T-shirt logo</t>
  </si>
  <si>
    <t>Demo day!</t>
  </si>
  <si>
    <t>Project Mission</t>
  </si>
  <si>
    <t>Product owners, software developers, and Scurm Master are set and ideally don't change over time; the critical part is the Release Manager role you need to define here</t>
  </si>
  <si>
    <t>Upper Torso Right Small</t>
  </si>
  <si>
    <t xml:space="preserve">A knowledge database, LLM-readable and searchable, with an AI user interface that allows engineers both to capture their knowledge about existing products, linked to the respective CAD files and assembly groups, and to retrieve this knowledge during the design of new products.
</t>
  </si>
  <si>
    <t>Link to logo for black T-shirt</t>
  </si>
  <si>
    <t>https://github.com/amosproj/amos2026ws02-engineering-knowledge-advisor/tree/main/Deliverables/sprint-01/team-logo.svg</t>
  </si>
  <si>
    <t>Deliver an open-source prototype that lets Bosch engineers capture knowledge about existing products, linked to their CAD assembly groups, and retrieve it with AI during new designs.</t>
  </si>
  <si>
    <t>Link to logo for white T-shirt</t>
  </si>
  <si>
    <t>Additional materials</t>
  </si>
  <si>
    <t>https://github.com/amosproj/amos2026ws02-engineering-knowledge-advisor/tree/main/Deliverables/sprint-01/team-label.svg</t>
  </si>
  <si>
    <t>We have a team label, if possible we would like this to be printed centered on the side of the upper arm,</t>
  </si>
  <si>
    <t>Team maling list</t>
  </si>
  <si>
    <t>oss-amos-proj2@lists.fau.de</t>
  </si>
  <si>
    <t>Term</t>
  </si>
  <si>
    <t>Definition</t>
  </si>
  <si>
    <t>Sprint #</t>
  </si>
  <si>
    <t>Sprint goal</t>
  </si>
  <si>
    <t>Project Introduction and initial planning</t>
  </si>
  <si>
    <t>None</t>
  </si>
  <si>
    <t>Optional</t>
  </si>
  <si>
    <t>Write your sprint goal here</t>
  </si>
  <si>
    <t>Story Points Realized</t>
  </si>
  <si>
    <t>Feature Definition of Done</t>
  </si>
  <si>
    <t>Sprint Release Definition of Done</t>
  </si>
  <si>
    <t>Project Release Definition of Done</t>
  </si>
  <si>
    <t>Sprint</t>
  </si>
  <si>
    <t>Theme</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</si>
  <si>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</si>
  <si>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</si>
  <si>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</si>
  <si>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</si>
  <si>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</si>
  <si>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</si>
  <si>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</si>
  <si>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</si>
  <si>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</si>
  <si>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</si>
  <si>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</si>
  <si>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</si>
  <si>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</si>
  <si>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Type</t>
  </si>
  <si>
    <t>Link / reference</t>
  </si>
  <si>
    <t>Context</t>
  </si>
  <si>
    <t>Name</t>
  </si>
  <si>
    <t>Version</t>
  </si>
  <si>
    <t>License</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</si>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</sst>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0">
    <font>
      <sz val="10.0"/>
      <color rgb="FF000000"/>
      <name val="Arial"/>
    </font>
    <font>
      <b/>
    </font>
    <font>
      <b/>
      <name val="Arial"/>
    </font>
    <font/>
    <font>
      <name val="Arial"/>
    </font>
    <font>
      <u/>
      <color rgb="FF0000FF"/>
    </font>
    <font>
      <u/>
      <color rgb="FF0000FF"/>
    </font>
    <font>
      <u/>
      <color rgb="FF0000FF"/>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s>
  <borders count="1">
    <border/>
  </borders>
  <cellStyleXfs count="1">
    <xf borderId="0" fillId="0" fontId="0" numFmtId="0" applyAlignment="1" applyFont="1"/>
  </cellStyleXfs>
  <cellXfs count="103">
    <xf borderId="0" fillId="0" fontId="0" numFmtId="0" xfId="0" applyAlignment="1" applyFont="1">
      <alignment readingOrder="0" shrinkToFit="0" vertical="bottom" wrapText="1"/>
    </xf>
    <xf borderId="0" fillId="0" fontId="1" numFmtId="0" xfId="0" applyAlignment="1" applyFont="1">
      <alignment readingOrder="0" shrinkToFit="0" wrapText="0"/>
    </xf>
    <xf borderId="0" fillId="2" fontId="1" numFmtId="0" xfId="0" applyAlignment="1" applyFill="1" applyFont="1">
      <alignment horizontal="center" readingOrder="0" shrinkToFit="0" wrapText="0"/>
    </xf>
    <xf borderId="0" fillId="0" fontId="1" numFmtId="0" xfId="0" applyAlignment="1" applyFont="1">
      <alignment shrinkToFit="0" wrapText="1"/>
    </xf>
    <xf borderId="0" fillId="3" fontId="2" numFmtId="0" xfId="0" applyAlignment="1" applyFill="1" applyFont="1">
      <alignment shrinkToFit="0" vertical="bottom" wrapText="1"/>
    </xf>
    <xf borderId="0" fillId="0" fontId="3" numFmtId="0" xfId="0" applyAlignment="1" applyFont="1">
      <alignment readingOrder="0" shrinkToFit="0" wrapText="1"/>
    </xf>
    <xf borderId="0" fillId="0" fontId="3" numFmtId="0" xfId="0" applyAlignment="1" applyFont="1">
      <alignment readingOrder="0" shrinkToFit="0" wrapText="0"/>
    </xf>
    <xf borderId="0" fillId="3" fontId="4" numFmtId="0" xfId="0" applyAlignment="1" applyFill="1" applyFont="1">
      <alignment readingOrder="0" shrinkToFit="0" vertical="bottom" wrapText="1"/>
    </xf>
    <xf borderId="0" fillId="0" fontId="3" numFmtId="0" xfId="0" applyAlignment="1" applyFont="1">
      <alignment shrinkToFit="0" wrapText="1"/>
    </xf>
    <xf borderId="0" fillId="0" fontId="3" numFmtId="0" xfId="0" applyAlignment="1" applyFont="1">
      <alignment readingOrder="0" shrinkToFit="0" wrapText="1"/>
    </xf>
    <xf borderId="0" fillId="2" fontId="1" numFmtId="0" xfId="0" applyAlignment="1" applyFill="1" applyFont="1">
      <alignment horizontal="center" shrinkToFit="0" wrapText="0"/>
    </xf>
    <xf borderId="0" fillId="0" fontId="1" numFmtId="0" xfId="0" applyAlignment="1" applyFont="1">
      <alignment readingOrder="0" shrinkToFit="0" wrapText="1"/>
    </xf>
    <xf borderId="0" fillId="4" fontId="4" numFmtId="0" xfId="0" applyAlignment="1" applyFill="1" applyFont="1">
      <alignment shrinkToFit="0" vertical="bottom" wrapText="1"/>
    </xf>
    <xf borderId="0" fillId="4" fontId="4" numFmtId="0" xfId="0" applyAlignment="1" applyFill="1" applyFont="1">
      <alignment shrinkToFit="0" vertical="bottom" wrapText="1"/>
    </xf>
    <xf borderId="0" fillId="0" fontId="1" numFmtId="0" xfId="0" applyAlignment="1" applyFont="1">
      <alignment horizontal="center" readingOrder="0" shrinkToFit="0" wrapText="0"/>
    </xf>
    <xf borderId="0" fillId="3" fontId="2" numFmtId="0" xfId="0" applyAlignment="1" applyFill="1" applyFont="1">
      <alignment readingOrder="0" shrinkToFit="0" vertical="bottom" wrapText="1"/>
    </xf>
    <xf borderId="0" fillId="0" fontId="1" numFmtId="0" xfId="0" applyAlignment="1" applyFont="1">
      <alignment horizontal="center" shrinkToFit="0" wrapText="0"/>
    </xf>
    <xf borderId="0" fillId="0" fontId="3" numFmtId="0" xfId="0" applyAlignment="1" applyFont="1">
      <alignment horizontal="center" shrinkToFit="0" wrapText="0"/>
    </xf>
    <xf borderId="0" fillId="0" fontId="3" numFmtId="164" xfId="0" applyAlignment="1" applyFont="1" applyNumberFormat="1">
      <alignment readingOrder="0" shrinkToFit="0" wrapText="0"/>
    </xf>
    <xf borderId="0" fillId="0" fontId="3" numFmtId="165" xfId="0" applyAlignment="1" applyFont="1" applyNumberFormat="1">
      <alignment horizontal="left" readingOrder="0" shrinkToFit="0" wrapText="0"/>
    </xf>
    <xf borderId="0" fillId="3" fontId="2" numFmtId="0" xfId="0" applyAlignment="1" applyFill="1" applyFont="1">
      <alignment shrinkToFit="0" vertical="bottom" wrapText="1"/>
    </xf>
    <xf borderId="0" fillId="0" fontId="3" numFmtId="0" xfId="0" applyAlignment="1" applyFont="1">
      <alignment shrinkToFit="0" wrapText="0"/>
    </xf>
    <xf borderId="0" fillId="0" fontId="3" numFmtId="0" xfId="0" applyAlignment="1" applyFont="1">
      <alignment shrinkToFit="0" wrapText="1"/>
    </xf>
    <xf borderId="0" fillId="0" fontId="1" numFmtId="0" xfId="0" applyAlignment="1" applyFont="1">
      <alignment shrinkToFit="0" wrapText="0"/>
    </xf>
    <xf borderId="0" fillId="0" fontId="5" numFmtId="0" xfId="0" applyAlignment="1" applyFont="1">
      <alignment readingOrder="0" shrinkToFit="0" wrapText="1"/>
    </xf>
    <xf borderId="0" fillId="0" fontId="3" numFmtId="164" xfId="0" applyAlignment="1" applyFont="1" applyNumberFormat="1">
      <alignment shrinkToFit="0" wrapText="0"/>
    </xf>
    <xf borderId="0" fillId="0" fontId="3" numFmtId="0" xfId="0" applyAlignment="1" applyFont="1">
      <alignment horizontal="left" readingOrder="0" shrinkToFit="0" wrapText="0"/>
    </xf>
    <xf borderId="0" fillId="0" fontId="6" numFmtId="0" xfId="0" applyAlignment="1" applyFont="1">
      <alignment readingOrder="0" shrinkToFit="0" wrapText="1"/>
    </xf>
    <xf borderId="0" fillId="0" fontId="1" numFmtId="0" xfId="0" applyAlignment="1" applyFont="1">
      <alignment readingOrder="0" shrinkToFit="0" wrapText="1"/>
    </xf>
    <xf borderId="0" fillId="2" fontId="1" numFmtId="0" xfId="0" applyAlignment="1" applyFill="1" applyFont="1">
      <alignment readingOrder="0" shrinkToFit="0" wrapText="1"/>
    </xf>
    <xf borderId="0" fillId="0" fontId="3" numFmtId="165" xfId="0" applyAlignment="1" applyFont="1" applyNumberFormat="1">
      <alignment shrinkToFit="0" wrapText="0"/>
    </xf>
    <xf borderId="0" fillId="0" fontId="3" numFmtId="165" xfId="0" applyAlignment="1" applyFont="1" applyNumberFormat="1">
      <alignment horizontal="left" shrinkToFit="0" wrapText="0"/>
    </xf>
    <xf borderId="0" fillId="3" fontId="3" numFmtId="0" xfId="0" applyAlignment="1" applyFill="1" applyFont="1">
      <alignment shrinkToFit="0" wrapText="1"/>
    </xf>
    <xf borderId="0" fillId="0" fontId="3" numFmtId="165" xfId="0" applyAlignment="1" applyFont="1" applyNumberFormat="1">
      <alignment horizontal="left" shrinkToFit="0" wrapText="0"/>
    </xf>
    <xf borderId="0" fillId="3" fontId="3" numFmtId="0" xfId="0" applyAlignment="1" applyFill="1" applyFont="1">
      <alignment readingOrder="0" shrinkToFit="0" wrapText="1"/>
    </xf>
    <xf borderId="0" fillId="0" fontId="3" numFmtId="0" xfId="0" applyAlignment="1" applyFont="1">
      <alignment horizontal="left" shrinkToFit="0" wrapText="0"/>
    </xf>
    <xf borderId="0" fillId="4" fontId="4" numFmtId="0" xfId="0" applyAlignment="1" applyFill="1" applyFont="1">
      <alignment readingOrder="0" shrinkToFit="0" vertical="top" wrapText="1"/>
    </xf>
    <xf borderId="0" fillId="0" fontId="7"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2" fontId="2" numFmtId="0" xfId="0" applyAlignment="1" applyFill="1" applyFont="1">
      <alignment shrinkToFit="0" vertical="bottom" wrapText="1"/>
    </xf>
    <xf borderId="0" fillId="2" fontId="2" numFmtId="0" xfId="0" applyAlignment="1" applyFill="1" applyFont="1">
      <alignment shrinkToFit="0" vertical="bottom" wrapText="0"/>
    </xf>
    <xf borderId="0" fillId="2" fontId="2" numFmtId="0" xfId="0" applyAlignment="1" applyFill="1" applyFont="1">
      <alignment readingOrder="0" shrinkToFit="0" vertical="bottom" wrapText="0"/>
    </xf>
    <xf borderId="0" fillId="2" fontId="2" numFmtId="0" xfId="0" applyAlignment="1" applyFill="1" applyFont="1">
      <alignment horizontal="left" shrinkToFit="0" vertical="bottom" wrapText="1"/>
    </xf>
    <xf borderId="0" fillId="2" fontId="2" numFmtId="0" xfId="0" applyAlignment="1" applyFill="1" applyFont="1">
      <alignment shrinkToFit="0" vertical="bottom" wrapText="0"/>
    </xf>
    <xf borderId="0" fillId="2" fontId="2" numFmtId="0" xfId="0" applyAlignment="1" applyFill="1" applyFont="1">
      <alignment horizontal="center" readingOrder="0" shrinkToFit="0" vertical="bottom" wrapText="1"/>
    </xf>
    <xf borderId="0" fillId="2" fontId="2" numFmtId="0" xfId="0" applyAlignment="1" applyFill="1" applyFont="1">
      <alignment readingOrder="0" shrinkToFit="0" vertical="bottom" wrapText="1"/>
    </xf>
    <xf borderId="0" fillId="2" fontId="2" numFmtId="0" xfId="0" applyAlignment="1" applyFill="1" applyFont="1">
      <alignment shrinkToFit="0" vertical="bottom" wrapText="1"/>
    </xf>
    <xf borderId="0" fillId="3" fontId="4" numFmtId="0" xfId="0" applyAlignment="1" applyFill="1" applyFont="1">
      <alignment horizontal="left" shrinkToFit="0" vertical="bottom" wrapText="1"/>
    </xf>
    <xf borderId="0" fillId="3" fontId="4" numFmtId="0" xfId="0" applyAlignment="1" applyFill="1" applyFont="1">
      <alignment shrinkToFit="0" vertical="bottom" wrapText="0"/>
    </xf>
    <xf borderId="0" fillId="3" fontId="4" numFmtId="0" xfId="0" applyAlignment="1" applyFill="1" applyFont="1">
      <alignment shrinkToFit="0" vertical="bottom" wrapText="1"/>
    </xf>
    <xf borderId="0" fillId="5" fontId="2" numFmtId="0" xfId="0" applyAlignment="1" applyFill="1" applyFont="1">
      <alignment horizontal="left" shrinkToFit="0" vertical="bottom" wrapText="0"/>
    </xf>
    <xf borderId="0" fillId="5" fontId="4" numFmtId="0" xfId="0" applyAlignment="1" applyFill="1" applyFont="1">
      <alignment shrinkToFit="0" vertical="bottom" wrapText="0"/>
    </xf>
    <xf borderId="0" fillId="5" fontId="4" numFmtId="0" xfId="0" applyAlignment="1" applyFill="1" applyFont="1">
      <alignment shrinkToFit="0" vertical="bottom" wrapText="1"/>
    </xf>
    <xf borderId="0" fillId="4" fontId="2" numFmtId="0" xfId="0" applyAlignment="1" applyFill="1" applyFont="1">
      <alignment shrinkToFit="0" vertical="bottom" wrapText="0"/>
    </xf>
    <xf borderId="0" fillId="0" fontId="3" numFmtId="0" xfId="0" applyAlignment="1" applyFont="1">
      <alignment shrinkToFit="0" wrapText="0"/>
    </xf>
    <xf borderId="0" fillId="4" fontId="4" numFmtId="0" xfId="0" applyAlignment="1" applyFill="1" applyFont="1">
      <alignment horizontal="right" shrinkToFit="0" vertical="bottom" wrapText="0"/>
    </xf>
    <xf borderId="0" fillId="6" fontId="2" numFmtId="0" xfId="0" applyAlignment="1" applyFill="1" applyFont="1">
      <alignment horizontal="left" shrinkToFit="0" vertical="bottom" wrapText="0"/>
    </xf>
    <xf borderId="0" fillId="6" fontId="2" numFmtId="0" xfId="0" applyAlignment="1" applyFill="1" applyFont="1">
      <alignment shrinkToFit="0" vertical="bottom" wrapText="0"/>
    </xf>
    <xf borderId="0" fillId="6" fontId="2" numFmtId="0" xfId="0" applyAlignment="1" applyFill="1" applyFont="1">
      <alignment shrinkToFit="0" vertical="bottom" wrapText="0"/>
    </xf>
    <xf borderId="0" fillId="6" fontId="4" numFmtId="0" xfId="0" applyAlignment="1" applyFill="1" applyFont="1">
      <alignment shrinkToFit="0" vertical="bottom" wrapText="1"/>
    </xf>
    <xf borderId="0" fillId="3" fontId="8" numFmtId="0" xfId="0" applyAlignment="1" applyFill="1" applyFont="1">
      <alignment horizontal="center" shrinkToFit="0" vertical="bottom" wrapText="0"/>
    </xf>
    <xf borderId="0" fillId="4" fontId="4" numFmtId="0" xfId="0" applyAlignment="1" applyFill="1" applyFont="1">
      <alignment horizontal="left" shrinkToFit="0" vertical="bottom" wrapText="1"/>
    </xf>
    <xf borderId="0" fillId="3" fontId="4" numFmtId="0" xfId="0" applyAlignment="1" applyFill="1" applyFont="1">
      <alignment horizontal="right" shrinkToFit="0" vertical="bottom" wrapText="0"/>
    </xf>
    <xf borderId="0" fillId="3" fontId="4" numFmtId="0" xfId="0" applyAlignment="1" applyFill="1" applyFont="1">
      <alignment horizontal="left" readingOrder="0" shrinkToFit="0" vertical="bottom" wrapText="1"/>
    </xf>
    <xf borderId="0" fillId="3" fontId="4" numFmtId="0" xfId="0" applyAlignment="1" applyFill="1" applyFont="1">
      <alignment shrinkToFit="0" vertical="bottom" wrapText="0"/>
    </xf>
    <xf borderId="0" fillId="7" fontId="2" numFmtId="0" xfId="0" applyAlignment="1" applyFill="1" applyFont="1">
      <alignment horizontal="left" shrinkToFit="0" vertical="bottom" wrapText="0"/>
    </xf>
    <xf borderId="0" fillId="7" fontId="2" numFmtId="0" xfId="0" applyAlignment="1" applyFill="1" applyFont="1">
      <alignment shrinkToFit="0" vertical="bottom" wrapText="0"/>
    </xf>
    <xf borderId="0" fillId="7" fontId="4" numFmtId="0" xfId="0" applyAlignment="1" applyFill="1" applyFont="1">
      <alignment shrinkToFit="0" vertical="bottom" wrapText="1"/>
    </xf>
    <xf borderId="0" fillId="3" fontId="2" numFmtId="0" xfId="0" applyAlignment="1" applyFill="1" applyFont="1">
      <alignment horizontal="left" shrinkToFit="0" vertical="bottom" wrapText="0"/>
    </xf>
    <xf borderId="0" fillId="3" fontId="2" numFmtId="0" xfId="0" applyAlignment="1" applyFill="1" applyFont="1">
      <alignment shrinkToFit="0" vertical="bottom" wrapText="0"/>
    </xf>
    <xf borderId="0" fillId="4" fontId="4" numFmtId="0" xfId="0" applyAlignment="1" applyFill="1" applyFont="1">
      <alignment shrinkToFit="0" vertical="bottom" wrapText="0"/>
    </xf>
    <xf borderId="0" fillId="3" fontId="4" numFmtId="0" xfId="0" applyAlignment="1" applyFill="1" applyFont="1">
      <alignment shrinkToFit="0" vertical="bottom" wrapText="1"/>
    </xf>
    <xf borderId="0" fillId="3" fontId="4" numFmtId="0" xfId="0" applyAlignment="1" applyFill="1" applyFont="1">
      <alignment horizontal="right" shrinkToFit="0" vertical="bottom" wrapText="0"/>
    </xf>
    <xf borderId="0" fillId="3" fontId="4" numFmtId="0" xfId="0" applyAlignment="1" applyFill="1" applyFont="1">
      <alignment horizontal="left" shrinkToFit="0" vertical="bottom" wrapText="1"/>
    </xf>
    <xf borderId="0" fillId="8" fontId="1" numFmtId="0" xfId="0" applyAlignment="1" applyFill="1" applyFont="1">
      <alignment readingOrder="0" shrinkToFit="0" wrapText="0"/>
    </xf>
    <xf borderId="0" fillId="2" fontId="2" numFmtId="0" xfId="0" applyAlignment="1" applyFill="1" applyFont="1">
      <alignment shrinkToFit="0" vertical="center" wrapText="1"/>
    </xf>
    <xf borderId="0" fillId="2" fontId="2" numFmtId="0" xfId="0" applyAlignment="1" applyFill="1" applyFont="1">
      <alignment horizontal="center" shrinkToFit="0" vertical="center" wrapText="1"/>
    </xf>
    <xf borderId="0" fillId="2" fontId="2" numFmtId="4" xfId="0" applyAlignment="1" applyFill="1" applyFont="1" applyNumberFormat="1">
      <alignment shrinkToFit="0" vertical="center" wrapText="1"/>
    </xf>
    <xf borderId="0" fillId="2" fontId="4" numFmtId="4" xfId="0" applyAlignment="1" applyFill="1" applyFont="1" applyNumberFormat="1">
      <alignment shrinkToFit="0" vertical="center" wrapText="1"/>
    </xf>
    <xf borderId="0" fillId="2" fontId="4" numFmtId="0" xfId="0" applyAlignment="1" applyFill="1" applyFont="1">
      <alignment shrinkToFit="0" vertical="center" wrapText="1"/>
    </xf>
    <xf borderId="0" fillId="2" fontId="1" numFmtId="0" xfId="0" applyAlignment="1" applyFill="1" applyFont="1">
      <alignment shrinkToFit="0" vertical="center" wrapText="1"/>
    </xf>
    <xf borderId="0" fillId="4" fontId="2" numFmtId="0" xfId="0" applyAlignment="1" applyFill="1" applyFont="1">
      <alignment shrinkToFit="0" vertical="center" wrapText="1"/>
    </xf>
    <xf borderId="0" fillId="3" fontId="2" numFmtId="0" xfId="0" applyAlignment="1" applyFill="1" applyFont="1">
      <alignment shrinkToFit="0" vertical="center" wrapText="1"/>
    </xf>
    <xf borderId="0" fillId="8" fontId="4" numFmtId="0" xfId="0" applyAlignment="1" applyFill="1" applyFont="1">
      <alignment horizontal="center" readingOrder="0" shrinkToFit="0" vertical="center" wrapText="1"/>
    </xf>
    <xf borderId="0" fillId="3" fontId="4" numFmtId="4" xfId="0" applyAlignment="1" applyFill="1" applyFont="1" applyNumberFormat="1">
      <alignment shrinkToFit="0" vertical="center" wrapText="1"/>
    </xf>
    <xf borderId="0" fillId="7" fontId="9" numFmtId="4" xfId="0" applyAlignment="1" applyFill="1" applyFont="1" applyNumberFormat="1">
      <alignment horizontal="center" shrinkToFit="0" vertical="center" wrapText="1"/>
    </xf>
    <xf borderId="0" fillId="7" fontId="9" numFmtId="0" xfId="0" applyAlignment="1" applyFill="1" applyFont="1">
      <alignment horizontal="center" shrinkToFit="0" vertical="center" wrapText="1"/>
    </xf>
    <xf borderId="0" fillId="3" fontId="3" numFmtId="0" xfId="0" applyAlignment="1" applyFill="1" applyFont="1">
      <alignment shrinkToFit="0" vertical="center" wrapText="1"/>
    </xf>
    <xf borderId="0" fillId="4" fontId="4" numFmtId="4" xfId="0" applyAlignment="1" applyFill="1" applyFont="1" applyNumberFormat="1">
      <alignment shrinkToFit="0" vertical="center" wrapText="1"/>
    </xf>
    <xf borderId="0" fillId="4" fontId="3" numFmtId="0" xfId="0" applyAlignment="1" applyFill="1" applyFont="1">
      <alignment shrinkToFit="0" vertical="center" wrapText="1"/>
    </xf>
    <xf borderId="0" fillId="4" fontId="4" numFmtId="0" xfId="0" applyAlignment="1" applyFill="1" applyFont="1">
      <alignment shrinkToFit="0" vertical="center" wrapText="1"/>
    </xf>
    <xf borderId="0" fillId="3" fontId="4" numFmtId="0" xfId="0" applyAlignment="1" applyFill="1" applyFont="1">
      <alignment shrinkToFit="0" vertical="center" wrapText="1"/>
    </xf>
    <xf borderId="0" fillId="6" fontId="4" numFmtId="0" xfId="0" applyAlignment="1" applyFill="1" applyFont="1">
      <alignment horizontal="center" shrinkToFit="0" vertical="center" wrapText="1"/>
    </xf>
    <xf borderId="0" fillId="6" fontId="4" numFmtId="0" xfId="0" applyAlignment="1" applyFill="1" applyFont="1">
      <alignment readingOrder="0" shrinkToFit="0" vertical="center" wrapText="1"/>
    </xf>
    <xf borderId="0" fillId="3" fontId="1" numFmtId="0" xfId="0" applyAlignment="1" applyFill="1" applyFont="1">
      <alignment shrinkToFit="0" wrapText="0"/>
    </xf>
    <xf borderId="0" fillId="3" fontId="1" numFmtId="0" xfId="0" applyAlignment="1" applyFill="1" applyFont="1">
      <alignment shrinkToFit="0" wrapText="0"/>
    </xf>
    <xf borderId="0" fillId="4" fontId="3" numFmtId="0" xfId="0" applyAlignment="1" applyFill="1" applyFont="1">
      <alignment shrinkToFit="0" wrapText="0"/>
    </xf>
    <xf borderId="0" fillId="3" fontId="3" numFmtId="0" xfId="0" applyAlignment="1" applyFill="1" applyFont="1">
      <alignment shrinkToFit="0" wrapText="0"/>
    </xf>
    <xf borderId="0" fillId="3" fontId="3" numFmtId="0" xfId="0" applyAlignment="1" applyFill="1" applyFont="1">
      <alignment shrinkToFit="0" wrapText="0"/>
    </xf>
    <xf borderId="0" fillId="4" fontId="3" numFmtId="0" xfId="0" applyAlignment="1" applyFill="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4.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chartsheet" Target="chartsheets/sheet1.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chartsheet" Target="chartsheets/sheet2.xml"/><Relationship Id="rId14" Type="http://schemas.openxmlformats.org/officeDocument/2006/relationships/worksheet" Target="worksheets/sheet10.xml"/><Relationship Id="rId17" Type="http://schemas.openxmlformats.org/officeDocument/2006/relationships/chartsheet" Target="chartsheets/sheet3.xml"/><Relationship Id="rId16" Type="http://schemas.openxmlformats.org/officeDocument/2006/relationships/worksheet" Target="worksheets/sheet11.xml"/><Relationship Id="rId5" Type="http://schemas.openxmlformats.org/officeDocument/2006/relationships/worksheet" Target="worksheets/sheet2.xml"/><Relationship Id="rId19" Type="http://schemas.openxmlformats.org/officeDocument/2006/relationships/worksheet" Target="worksheets/sheet13.xml"/><Relationship Id="rId6" Type="http://schemas.openxmlformats.org/officeDocument/2006/relationships/worksheet" Target="worksheets/sheet3.xml"/><Relationship Id="rId18" Type="http://schemas.openxmlformats.org/officeDocument/2006/relationships/worksheet" Target="worksheets/sheet12.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strRef>
              <c:f>'Velocity Tracking'!$B$1</c:f>
            </c:strRef>
          </c:tx>
          <c:spPr>
            <a:solidFill>
              <a:srgbClr val="4285F4"/>
            </a:solidFill>
            <a:ln cmpd="sng">
              <a:noFill/>
            </a:ln>
          </c:spPr>
          <c:invertIfNegative val="0"/>
          <c:cat>
            <c:strRef>
              <c:f>'Velocity Tracking'!$A$2:$A$16</c:f>
            </c:strRef>
          </c:cat>
          <c:val>
            <c:numRef>
              <c:f>'Velocity Tracking'!$B$2:$B$16</c:f>
              <c:numCache/>
            </c:numRef>
          </c:val>
        </c:ser>
        <c:ser>
          <c:idx val="1"/>
          <c:order val="1"/>
          <c:tx>
            <c:strRef>
              <c:f>'Velocity Tracking'!$B$1</c:f>
            </c:strRef>
          </c:tx>
          <c:invertIfNegative val="0"/>
          <c:cat>
            <c:strRef>
              <c:f>'Velocity Tracking'!$A$2:$A$16</c:f>
            </c:strRef>
          </c:cat>
          <c:val>
            <c:numRef>
              <c:f>'Velocity Tracking'!$B$2:$B$16</c:f>
              <c:numCache/>
            </c:numRef>
          </c:val>
        </c:ser>
        <c:axId val="935322386"/>
        <c:axId val="697651845"/>
      </c:barChart>
      <c:catAx>
        <c:axId val="93532238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cross"/>
        <c:minorTickMark val="none"/>
        <c:spPr/>
        <c:txPr>
          <a:bodyPr/>
          <a:lstStyle/>
          <a:p>
            <a:pPr lvl="0">
              <a:defRPr b="0">
                <a:solidFill>
                  <a:srgbClr val="000000"/>
                </a:solidFill>
                <a:latin typeface="Roboto"/>
              </a:defRPr>
            </a:pPr>
          </a:p>
        </c:txPr>
        <c:crossAx val="697651845"/>
      </c:catAx>
      <c:valAx>
        <c:axId val="697651845"/>
        <c:scaling>
          <c:orientation val="minMax"/>
          <c:max val="30.0"/>
          <c:min val="0.0"/>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cross"/>
        <c:minorTickMark val="none"/>
        <c:tickLblPos val="nextTo"/>
        <c:spPr>
          <a:ln/>
        </c:spPr>
        <c:txPr>
          <a:bodyPr/>
          <a:lstStyle/>
          <a:p>
            <a:pPr lvl="0">
              <a:defRPr b="0">
                <a:solidFill>
                  <a:srgbClr val="000000"/>
                </a:solidFill>
                <a:latin typeface="Roboto"/>
              </a:defRPr>
            </a:pPr>
          </a:p>
        </c:txPr>
        <c:crossAx val="935322386"/>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'Mid-Project Release plan'!$F$8</c:f>
            </c:strRef>
          </c:tx>
          <c:spPr>
            <a:solidFill>
              <a:srgbClr val="4285F4"/>
            </a:solidFill>
            <a:ln cmpd="sng">
              <a:noFill/>
            </a:ln>
          </c:spPr>
          <c:invertIfNegative val="0"/>
          <c:val>
            <c:numRef>
              <c:f>'Mid-Project Release plan'!$F$9:$F$12</c:f>
              <c:numCache/>
            </c:numRef>
          </c:val>
        </c:ser>
        <c:ser>
          <c:idx val="1"/>
          <c:order val="1"/>
          <c:tx>
            <c:strRef>
              <c:f>'Mid-Project Release plan'!$F$8</c:f>
            </c:strRef>
          </c:tx>
          <c:spPr>
            <a:solidFill>
              <a:srgbClr val="DB4437"/>
            </a:solidFill>
            <a:ln cmpd="sng">
              <a:noFill/>
            </a:ln>
          </c:spPr>
          <c:invertIfNegative val="0"/>
          <c:val>
            <c:numRef>
              <c:f>'Mid-Project Release plan'!$F$9:$F$12</c:f>
              <c:numCache/>
            </c:numRef>
          </c:val>
        </c:ser>
        <c:ser>
          <c:idx val="2"/>
          <c:order val="2"/>
          <c:tx>
            <c:strRef>
              <c:f>'Mid-Project Release plan'!$H$8</c:f>
            </c:strRef>
          </c:tx>
          <c:invertIfNegative val="0"/>
          <c:val>
            <c:numRef>
              <c:f>'Mid-Project Release plan'!$H$9:$H$12</c:f>
              <c:numCache/>
            </c:numRef>
          </c:val>
        </c:ser>
        <c:ser>
          <c:idx val="3"/>
          <c:order val="3"/>
          <c:tx>
            <c:strRef>
              <c:f>'Mid-Project Release plan'!$H$8</c:f>
            </c:strRef>
          </c:tx>
          <c:invertIfNegative val="0"/>
          <c:val>
            <c:numRef>
              <c:f>'Mid-Project Release plan'!$H$9:$H$12</c:f>
              <c:numCache/>
            </c:numRef>
          </c:val>
        </c:ser>
        <c:axId val="328540909"/>
        <c:axId val="1135296701"/>
      </c:barChart>
      <c:catAx>
        <c:axId val="32854090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1135296701"/>
      </c:catAx>
      <c:valAx>
        <c:axId val="11352967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32854090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'Final Project Release plan'!$F$8</c:f>
            </c:strRef>
          </c:tx>
          <c:spPr>
            <a:solidFill>
              <a:srgbClr val="4285F4"/>
            </a:solidFill>
            <a:ln cmpd="sng">
              <a:noFill/>
            </a:ln>
          </c:spPr>
          <c:invertIfNegative val="0"/>
          <c:val>
            <c:numRef>
              <c:f>'Final Project Release plan'!$F$9:$F$34</c:f>
              <c:numCache/>
            </c:numRef>
          </c:val>
        </c:ser>
        <c:ser>
          <c:idx val="1"/>
          <c:order val="1"/>
          <c:tx>
            <c:strRef>
              <c:f>'Final Project Release plan'!$E$8</c:f>
            </c:strRef>
          </c:tx>
          <c:spPr>
            <a:solidFill>
              <a:srgbClr val="DB4437"/>
            </a:solidFill>
            <a:ln cmpd="sng">
              <a:noFill/>
            </a:ln>
          </c:spPr>
          <c:invertIfNegative val="0"/>
          <c:val>
            <c:numRef>
              <c:f>'Final Project Release plan'!$E$9:$E$34</c:f>
              <c:numCache/>
            </c:numRef>
          </c:val>
        </c:ser>
        <c:ser>
          <c:idx val="2"/>
          <c:order val="2"/>
          <c:tx>
            <c:strRef>
              <c:f>'Final Project Release plan'!$H$8</c:f>
            </c:strRef>
          </c:tx>
          <c:invertIfNegative val="0"/>
          <c:val>
            <c:numRef>
              <c:f>'Final Project Release plan'!$H$9:$H$34</c:f>
              <c:numCache/>
            </c:numRef>
          </c:val>
        </c:ser>
        <c:ser>
          <c:idx val="3"/>
          <c:order val="3"/>
          <c:tx>
            <c:strRef>
              <c:f>'Final Project Release plan'!$G$8</c:f>
            </c:strRef>
          </c:tx>
          <c:invertIfNegative val="0"/>
          <c:val>
            <c:numRef>
              <c:f>'Final Project Release plan'!$G$9:$G$34</c:f>
              <c:numCache/>
            </c:numRef>
          </c:val>
        </c:ser>
        <c:axId val="1869602127"/>
        <c:axId val="409265245"/>
      </c:barChart>
      <c:catAx>
        <c:axId val="1869602127"/>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spPr>
          <a:ln>
            <a:noFill/>
          </a:ln>
        </c:spPr>
        <c:txPr>
          <a:bodyPr/>
          <a:lstStyle/>
          <a:p>
            <a:pPr lvl="0">
              <a:defRPr b="0">
                <a:solidFill>
                  <a:srgbClr val="000000"/>
                </a:solidFill>
                <a:latin typeface="Roboto"/>
              </a:defRPr>
            </a:pPr>
          </a:p>
        </c:txPr>
        <c:crossAx val="409265245"/>
      </c:catAx>
      <c:valAx>
        <c:axId val="4092652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Roboto"/>
              </a:defRPr>
            </a:pPr>
          </a:p>
        </c:txPr>
        <c:crossAx val="1869602127"/>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0.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2.xml"/></Relationships>
</file>

<file path=xl/chartsheets/_rels/sheet3.xml.rels><?xml version="1.0" encoding="UTF-8" standalone="yes"?><Relationships xmlns="http://schemas.openxmlformats.org/package/2006/relationships"><Relationship Id="rId1" Type="http://schemas.openxmlformats.org/officeDocument/2006/relationships/drawing" Target="../drawings/drawing14.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3.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file>

<file path=xl/drawings/_rels/drawing10.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Yan Medeiros da Cruz" id="{101a31ac-e947-442d-9dba-ae9089030a3f}" providerId="google-sheets"/>
</x18tc:personList>
</file>

<file path=xl/tables/table1.xml><?xml version="1.0" encoding="utf-8"?>
<table xmlns="http://schemas.openxmlformats.org/spreadsheetml/2006/main" ref="A1:B20" displayName="Table_3" name="Table_3" id="1">
  <tableColumns count="2">
    <tableColumn name="Project Name" id="1"/>
    <tableColumn name="Engineering Knowledge Advisor" id="2"/>
  </tableColumns>
  <tableStyleInfo name="Project Data-style" showColumnStripes="0" showFirstColumn="1" showLastColumn="1" showRowStripes="1"/>
</table>
</file>

<file path=xl/tables/table2.xml><?xml version="1.0" encoding="utf-8"?>
<table xmlns="http://schemas.openxmlformats.org/spreadsheetml/2006/main" ref="A1:D20" displayName="Table_4" name="Table_4" id="3">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0" displayName="Table_1" name="Table_1" id="4">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2" name="Table_2" id="2">
  <tableColumns count="2">
    <tableColumn name="Goals" id="1"/>
    <tableColumn name="Team goal: Develop a high-quality, usable, and useful software solution for Bosch that addresses the company partner’s problem, while collaborating effectively, strengthening agile practices, and building industry connection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D20" displayName="Table_7" name="Table_7" id="7">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8.xml><?xml version="1.0" encoding="utf-8"?>
<table xmlns="http://schemas.openxmlformats.org/spreadsheetml/2006/main" ref="A1:B19" displayName="Table_8" name="Table_8" id="8">
  <tableColumns count="2">
    <tableColumn name="Sprint #" id="1"/>
    <tableColumn name="Story Points Realized" id="2"/>
  </tableColumns>
  <tableStyleInfo name="Velocity Tracking-style" showColumnStripes="0" showFirstColumn="1" showLastColumn="1" showRowStripes="1"/>
</table>
</file>

<file path=xl/tables/table9.xml><?xml version="1.0" encoding="utf-8"?>
<table xmlns="http://schemas.openxmlformats.org/spreadsheetml/2006/main" ref="A1:H34" displayName="Table_9" name="Table_9" id="9">
  <tableColumns count="8">
    <tableColumn name="Sprint" id="1"/>
    <tableColumn name="Theme" id="2"/>
    <tableColumn name="Goal" id="3"/>
    <tableColumn name="Feature Name" id="4"/>
    <tableColumn name="Est. size" id="5"/>
    <tableColumn name="Est. remaining" id="6"/>
    <tableColumn name="Real size" id="7"/>
    <tableColumn name="Real remaining" id="8"/>
  </tableColumns>
  <tableStyleInfo name="Mid-Project Release plan-style" showColumnStripes="0" showFirstColumn="1" showLastColumn="1" showRowStripes="1"/>
</table>
</file>

<file path=xl/tables/table10.xml><?xml version="1.0" encoding="utf-8"?>
<table xmlns="http://schemas.openxmlformats.org/spreadsheetml/2006/main" ref="A1:H34" displayName="Table_10" name="Table_10" id="10">
  <tableColumns count="8">
    <tableColumn name="Sprint" id="1"/>
    <tableColumn name="Theme" id="2"/>
    <tableColumn name="Goal" id="3"/>
    <tableColumn name="Feature Name" id="4"/>
    <tableColumn name="Est. size" id="5"/>
    <tableColumn name="Est. remaining" id="6"/>
    <tableColumn name="Real size" id="7"/>
    <tableColumn name="Real remaining" id="8"/>
  </tableColumns>
  <tableStyleInfo name="Final Project Release plan-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20"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6-10-14T11:03:07.00" personId="{101a31ac-e947-442d-9dba-ae9089030a3f}" id="{2995cf3b-7c49-47a6-850b-f24aca83da27}" done="0">
    <x18tc:text xml:space="preserve">Ask for permission to protect the main branch.</x18tc:text>
  </x18tc:threadedComment>
  <x18tc:threadedComment ref="B5" dT="2026-10-14T11:08:53.00" personId="{101a31ac-e947-442d-9dba-ae9089030a3f}" id="{564082e5-2d79-4f35-8086-6ccb6f287496}" parentId="{2995cf3b-7c49-47a6-850b-f24aca83da27}">
    <x18tc:text xml:space="preserve">Ask on moodle regarding squashing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fau.zoom-x.de/j/68492789151" TargetMode="External"/><Relationship Id="rId2" Type="http://schemas.openxmlformats.org/officeDocument/2006/relationships/hyperlink" Target="https://github.com/amosproj/amos2026ws02-engineering-knowledge-advisor" TargetMode="External"/><Relationship Id="rId3" Type="http://schemas.openxmlformats.org/officeDocument/2006/relationships/hyperlink" Target="https://github.com/orgs/amosproj/projects/110" TargetMode="External"/><Relationship Id="rId4" Type="http://schemas.openxmlformats.org/officeDocument/2006/relationships/hyperlink" Target="https://github.com/orgs/amosproj/projects/114" TargetMode="External"/><Relationship Id="rId10" Type="http://schemas.openxmlformats.org/officeDocument/2006/relationships/table" Target="../tables/table1.xml"/><Relationship Id="rId5" Type="http://schemas.openxmlformats.org/officeDocument/2006/relationships/hyperlink" Target="https://github.com/amosproj/amos2026ws02-engineering-knowledge-advisor/tree/main/Deliverables/sprint-01/team-logo.svg" TargetMode="External"/><Relationship Id="rId6" Type="http://schemas.openxmlformats.org/officeDocument/2006/relationships/hyperlink" Target="https://github.com/amosproj/amos2026ws02-engineering-knowledge-advisor/tree/main/Deliverables/sprint-01/team-logo.svg" TargetMode="External"/><Relationship Id="rId7" Type="http://schemas.openxmlformats.org/officeDocument/2006/relationships/hyperlink" Target="https://github.com/amosproj/amos2026ws02-engineering-knowledge-advisor/tree/main/Deliverables/sprint-01/team-label.svg"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4.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 t="s">
        <v>1</v>
      </c>
      <c r="B1" s="5" t="s">
        <v>7</v>
      </c>
    </row>
    <row r="2">
      <c r="A2" s="3"/>
      <c r="B2" s="8"/>
    </row>
    <row r="3">
      <c r="A3" s="11" t="s">
        <v>11</v>
      </c>
      <c r="B3" s="24" t="s">
        <v>13</v>
      </c>
    </row>
    <row r="4">
      <c r="A4" s="3"/>
      <c r="B4" s="8"/>
    </row>
    <row r="5">
      <c r="A5" s="11" t="s">
        <v>85</v>
      </c>
      <c r="B5" s="5" t="s">
        <v>86</v>
      </c>
    </row>
    <row r="6">
      <c r="A6" s="11" t="s">
        <v>87</v>
      </c>
      <c r="B6" s="5" t="s">
        <v>86</v>
      </c>
    </row>
    <row r="7">
      <c r="A7" s="3"/>
      <c r="B7" s="8"/>
    </row>
    <row r="8">
      <c r="A8" s="11" t="s">
        <v>89</v>
      </c>
      <c r="B8" s="27" t="s">
        <v>90</v>
      </c>
    </row>
    <row r="9">
      <c r="A9" s="11" t="s">
        <v>93</v>
      </c>
      <c r="B9" s="24" t="s">
        <v>94</v>
      </c>
    </row>
    <row r="10">
      <c r="A10" s="11" t="s">
        <v>95</v>
      </c>
      <c r="B10" s="24" t="s">
        <v>96</v>
      </c>
    </row>
    <row r="11">
      <c r="A11" s="3"/>
      <c r="B11" s="8"/>
    </row>
    <row r="12">
      <c r="A12" s="28" t="s">
        <v>98</v>
      </c>
      <c r="B12" s="5" t="s">
        <v>102</v>
      </c>
    </row>
    <row r="13">
      <c r="A13" s="11" t="s">
        <v>104</v>
      </c>
      <c r="B13" s="27" t="s">
        <v>105</v>
      </c>
    </row>
    <row r="14">
      <c r="A14" s="11" t="s">
        <v>107</v>
      </c>
      <c r="B14" s="37" t="s">
        <v>105</v>
      </c>
    </row>
    <row r="15">
      <c r="A15" s="3"/>
      <c r="B15" s="8"/>
    </row>
    <row r="16">
      <c r="A16" s="3" t="s">
        <v>108</v>
      </c>
      <c r="B16" s="27" t="s">
        <v>109</v>
      </c>
    </row>
    <row r="17">
      <c r="A17" s="3"/>
      <c r="B17" s="5" t="s">
        <v>110</v>
      </c>
    </row>
    <row r="18">
      <c r="A18" s="11" t="s">
        <v>111</v>
      </c>
      <c r="B18" s="5" t="s">
        <v>112</v>
      </c>
    </row>
    <row r="19">
      <c r="A19" s="3"/>
      <c r="B19" s="8"/>
    </row>
    <row r="20" ht="13.5" customHeight="1">
      <c r="A20" s="3"/>
      <c r="B20" s="8"/>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7.25"/>
    <col customWidth="1" min="2" max="2" width="13.0"/>
    <col customWidth="1" min="3" max="3" width="19.5"/>
    <col customWidth="1" min="4" max="4" width="31.38"/>
  </cols>
  <sheetData>
    <row r="1">
      <c r="A1" s="1" t="s">
        <v>0</v>
      </c>
      <c r="B1" s="1" t="s">
        <v>3</v>
      </c>
      <c r="C1" s="1" t="s">
        <v>4</v>
      </c>
      <c r="D1" s="1" t="s">
        <v>5</v>
      </c>
    </row>
    <row r="2">
      <c r="A2" s="6" t="s">
        <v>8</v>
      </c>
      <c r="B2" s="9" t="s">
        <v>10</v>
      </c>
      <c r="C2" s="6" t="s">
        <v>12</v>
      </c>
      <c r="D2" s="6" t="s">
        <v>14</v>
      </c>
    </row>
    <row r="3">
      <c r="A3" s="6" t="s">
        <v>16</v>
      </c>
      <c r="B3" s="6" t="s">
        <v>17</v>
      </c>
      <c r="C3" s="6" t="s">
        <v>18</v>
      </c>
      <c r="D3" s="6" t="s">
        <v>19</v>
      </c>
    </row>
    <row r="4">
      <c r="A4" s="6" t="s">
        <v>22</v>
      </c>
      <c r="B4" s="6" t="s">
        <v>23</v>
      </c>
      <c r="C4" s="6" t="s">
        <v>25</v>
      </c>
      <c r="D4" s="6" t="s">
        <v>26</v>
      </c>
    </row>
    <row r="5">
      <c r="A5" s="6" t="s">
        <v>30</v>
      </c>
      <c r="B5" s="6" t="s">
        <v>32</v>
      </c>
      <c r="C5" s="6" t="s">
        <v>33</v>
      </c>
      <c r="D5" s="6" t="s">
        <v>35</v>
      </c>
    </row>
    <row r="6">
      <c r="A6" s="6" t="s">
        <v>39</v>
      </c>
      <c r="B6" s="6" t="s">
        <v>40</v>
      </c>
      <c r="C6" s="6" t="s">
        <v>41</v>
      </c>
      <c r="D6" s="6" t="s">
        <v>43</v>
      </c>
    </row>
    <row r="7">
      <c r="A7" s="6" t="s">
        <v>45</v>
      </c>
      <c r="B7" s="6" t="s">
        <v>46</v>
      </c>
      <c r="C7" s="6" t="s">
        <v>48</v>
      </c>
      <c r="D7" s="6" t="s">
        <v>50</v>
      </c>
    </row>
    <row r="8">
      <c r="A8" s="6" t="s">
        <v>53</v>
      </c>
      <c r="B8" s="6" t="s">
        <v>55</v>
      </c>
      <c r="C8" s="6" t="s">
        <v>57</v>
      </c>
      <c r="D8" s="6" t="s">
        <v>58</v>
      </c>
    </row>
    <row r="9">
      <c r="A9" s="6" t="s">
        <v>60</v>
      </c>
      <c r="B9" s="6" t="s">
        <v>62</v>
      </c>
      <c r="C9" s="6" t="s">
        <v>63</v>
      </c>
      <c r="D9" s="6" t="s">
        <v>65</v>
      </c>
    </row>
    <row r="10">
      <c r="A10" s="6" t="s">
        <v>66</v>
      </c>
      <c r="B10" s="6" t="s">
        <v>67</v>
      </c>
      <c r="C10" s="6" t="s">
        <v>68</v>
      </c>
      <c r="D10" s="6" t="s">
        <v>69</v>
      </c>
    </row>
    <row r="11">
      <c r="A11" s="21"/>
      <c r="B11" s="6"/>
      <c r="C11" s="21"/>
      <c r="D11" s="21"/>
    </row>
    <row r="12">
      <c r="A12" s="21"/>
      <c r="B12" s="21"/>
      <c r="C12" s="21"/>
      <c r="D12" s="21"/>
    </row>
    <row r="13">
      <c r="A13" s="1"/>
      <c r="B13" s="23"/>
      <c r="C13" s="23"/>
      <c r="D13" s="23"/>
    </row>
    <row r="14">
      <c r="A14" s="21"/>
      <c r="B14" s="6"/>
      <c r="C14" s="21"/>
      <c r="D14" s="21"/>
    </row>
    <row r="15">
      <c r="A15" s="21"/>
      <c r="B15" s="6"/>
      <c r="C15" s="21"/>
      <c r="D15" s="21"/>
    </row>
    <row r="16">
      <c r="A16" s="21"/>
      <c r="B16" s="21"/>
      <c r="C16" s="21"/>
      <c r="D16" s="21"/>
    </row>
    <row r="17">
      <c r="A17" s="21"/>
      <c r="B17" s="21"/>
      <c r="C17" s="21"/>
      <c r="D17" s="21"/>
    </row>
    <row r="18">
      <c r="A18" s="21"/>
      <c r="B18" s="21"/>
      <c r="C18" s="21"/>
      <c r="D18" s="21"/>
    </row>
    <row r="19">
      <c r="A19" s="21"/>
      <c r="B19" s="21"/>
      <c r="C19" s="21"/>
      <c r="D19" s="21"/>
    </row>
    <row r="20">
      <c r="A20" s="21"/>
      <c r="B20" s="21"/>
      <c r="C20" s="21"/>
      <c r="D20" s="21"/>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
      <c r="B1" s="2"/>
      <c r="C1" s="2" t="s">
        <v>6</v>
      </c>
      <c r="E1" s="2"/>
      <c r="F1" s="10"/>
      <c r="G1" s="10"/>
      <c r="H1" s="2"/>
    </row>
    <row r="2">
      <c r="A2" s="14" t="s">
        <v>15</v>
      </c>
      <c r="B2" s="14" t="s">
        <v>21</v>
      </c>
      <c r="C2" s="14" t="s">
        <v>24</v>
      </c>
      <c r="D2" s="14" t="s">
        <v>27</v>
      </c>
      <c r="E2" s="14" t="s">
        <v>29</v>
      </c>
      <c r="F2" s="16" t="s">
        <v>31</v>
      </c>
      <c r="G2" s="16" t="s">
        <v>36</v>
      </c>
      <c r="H2" s="14" t="s">
        <v>37</v>
      </c>
    </row>
    <row r="3">
      <c r="A3" s="17">
        <v>1.0</v>
      </c>
      <c r="B3" s="18">
        <v>46309.0</v>
      </c>
      <c r="C3" s="6" t="s">
        <v>51</v>
      </c>
      <c r="D3" s="6" t="s">
        <v>10</v>
      </c>
      <c r="E3" s="6" t="s">
        <v>56</v>
      </c>
      <c r="F3" s="6" t="s">
        <v>51</v>
      </c>
      <c r="G3" s="6" t="s">
        <v>55</v>
      </c>
      <c r="H3" s="19"/>
    </row>
    <row r="4">
      <c r="A4" s="17">
        <v>2.0</v>
      </c>
      <c r="B4" s="25">
        <f t="shared" ref="B4:B12" si="1">B3+7</f>
        <v>46316</v>
      </c>
      <c r="C4" s="6" t="s">
        <v>10</v>
      </c>
      <c r="D4" s="6" t="s">
        <v>23</v>
      </c>
      <c r="E4" s="6" t="s">
        <v>56</v>
      </c>
      <c r="F4" s="6" t="s">
        <v>62</v>
      </c>
      <c r="G4" s="6" t="s">
        <v>55</v>
      </c>
      <c r="H4" s="26" t="s">
        <v>88</v>
      </c>
    </row>
    <row r="5">
      <c r="A5" s="17">
        <v>3.0</v>
      </c>
      <c r="B5" s="25">
        <f t="shared" si="1"/>
        <v>46323</v>
      </c>
      <c r="C5" s="6" t="s">
        <v>23</v>
      </c>
      <c r="D5" s="6" t="s">
        <v>10</v>
      </c>
      <c r="E5" s="6" t="s">
        <v>56</v>
      </c>
      <c r="F5" s="6"/>
      <c r="G5" s="6" t="s">
        <v>55</v>
      </c>
      <c r="H5" s="19"/>
    </row>
    <row r="6">
      <c r="A6" s="17">
        <v>4.0</v>
      </c>
      <c r="B6" s="25">
        <f t="shared" si="1"/>
        <v>46330</v>
      </c>
      <c r="C6" s="6" t="s">
        <v>10</v>
      </c>
      <c r="D6" s="6" t="s">
        <v>23</v>
      </c>
      <c r="E6" s="6" t="s">
        <v>56</v>
      </c>
      <c r="F6" s="6"/>
      <c r="G6" s="6" t="s">
        <v>55</v>
      </c>
      <c r="H6" s="19"/>
    </row>
    <row r="7">
      <c r="A7" s="17">
        <v>5.0</v>
      </c>
      <c r="B7" s="25">
        <f t="shared" si="1"/>
        <v>46337</v>
      </c>
      <c r="C7" s="6" t="s">
        <v>23</v>
      </c>
      <c r="D7" s="6" t="s">
        <v>10</v>
      </c>
      <c r="E7" s="6" t="s">
        <v>56</v>
      </c>
      <c r="F7" s="6"/>
      <c r="G7" s="6" t="s">
        <v>55</v>
      </c>
      <c r="H7" s="19"/>
    </row>
    <row r="8">
      <c r="A8" s="17">
        <v>6.0</v>
      </c>
      <c r="B8" s="25">
        <f t="shared" si="1"/>
        <v>46344</v>
      </c>
      <c r="C8" s="6" t="s">
        <v>10</v>
      </c>
      <c r="D8" s="6" t="s">
        <v>23</v>
      </c>
      <c r="E8" s="6" t="s">
        <v>56</v>
      </c>
      <c r="F8" s="6"/>
      <c r="G8" s="6" t="s">
        <v>55</v>
      </c>
      <c r="H8" s="26" t="s">
        <v>91</v>
      </c>
    </row>
    <row r="9">
      <c r="A9" s="17">
        <v>7.0</v>
      </c>
      <c r="B9" s="25">
        <f t="shared" si="1"/>
        <v>46351</v>
      </c>
      <c r="C9" s="6" t="s">
        <v>23</v>
      </c>
      <c r="D9" s="6" t="s">
        <v>10</v>
      </c>
      <c r="E9" s="6" t="s">
        <v>56</v>
      </c>
      <c r="F9" s="21"/>
      <c r="G9" s="6" t="s">
        <v>55</v>
      </c>
      <c r="H9" s="26" t="s">
        <v>92</v>
      </c>
    </row>
    <row r="10">
      <c r="A10" s="17">
        <v>8.0</v>
      </c>
      <c r="B10" s="25">
        <f t="shared" si="1"/>
        <v>46358</v>
      </c>
      <c r="C10" s="6" t="s">
        <v>10</v>
      </c>
      <c r="D10" s="6" t="s">
        <v>23</v>
      </c>
      <c r="E10" s="6" t="s">
        <v>56</v>
      </c>
      <c r="F10" s="21"/>
      <c r="G10" s="6" t="s">
        <v>55</v>
      </c>
      <c r="H10" s="19"/>
    </row>
    <row r="11">
      <c r="A11" s="17">
        <v>9.0</v>
      </c>
      <c r="B11" s="25">
        <f t="shared" si="1"/>
        <v>46365</v>
      </c>
      <c r="C11" s="6" t="s">
        <v>23</v>
      </c>
      <c r="D11" s="6" t="s">
        <v>10</v>
      </c>
      <c r="E11" s="6" t="s">
        <v>56</v>
      </c>
      <c r="F11" s="21"/>
      <c r="G11" s="6" t="s">
        <v>55</v>
      </c>
      <c r="H11" s="19"/>
    </row>
    <row r="12">
      <c r="A12" s="17">
        <v>10.0</v>
      </c>
      <c r="B12" s="25">
        <f t="shared" si="1"/>
        <v>46372</v>
      </c>
      <c r="C12" s="6" t="s">
        <v>10</v>
      </c>
      <c r="D12" s="6" t="s">
        <v>23</v>
      </c>
      <c r="E12" s="6" t="s">
        <v>56</v>
      </c>
      <c r="F12" s="21"/>
      <c r="G12" s="6" t="s">
        <v>55</v>
      </c>
      <c r="H12" s="19"/>
    </row>
    <row r="13">
      <c r="A13" s="17">
        <v>11.0</v>
      </c>
      <c r="B13" s="18">
        <v>46035.0</v>
      </c>
      <c r="C13" s="6" t="s">
        <v>23</v>
      </c>
      <c r="D13" s="6" t="s">
        <v>10</v>
      </c>
      <c r="E13" s="6" t="s">
        <v>56</v>
      </c>
      <c r="F13" s="21"/>
      <c r="G13" s="6" t="s">
        <v>55</v>
      </c>
      <c r="H13" s="19"/>
    </row>
    <row r="14">
      <c r="A14" s="17">
        <v>12.0</v>
      </c>
      <c r="B14" s="25">
        <f t="shared" ref="B14:B16" si="2">B13+7</f>
        <v>46042</v>
      </c>
      <c r="C14" s="6" t="s">
        <v>10</v>
      </c>
      <c r="D14" s="6" t="s">
        <v>23</v>
      </c>
      <c r="E14" s="6" t="s">
        <v>56</v>
      </c>
      <c r="F14" s="21"/>
      <c r="G14" s="6" t="s">
        <v>55</v>
      </c>
      <c r="H14" s="19"/>
    </row>
    <row r="15">
      <c r="A15" s="17">
        <v>13.0</v>
      </c>
      <c r="B15" s="25">
        <f t="shared" si="2"/>
        <v>46049</v>
      </c>
      <c r="C15" s="6" t="s">
        <v>23</v>
      </c>
      <c r="D15" s="6" t="s">
        <v>10</v>
      </c>
      <c r="E15" s="6" t="s">
        <v>56</v>
      </c>
      <c r="F15" s="21"/>
      <c r="G15" s="6" t="s">
        <v>55</v>
      </c>
      <c r="H15" s="19"/>
    </row>
    <row r="16">
      <c r="A16" s="17">
        <v>14.0</v>
      </c>
      <c r="B16" s="25">
        <f t="shared" si="2"/>
        <v>46056</v>
      </c>
      <c r="C16" s="6" t="s">
        <v>10</v>
      </c>
      <c r="D16" s="6" t="s">
        <v>23</v>
      </c>
      <c r="E16" s="6" t="s">
        <v>56</v>
      </c>
      <c r="F16" s="21"/>
      <c r="G16" s="6" t="s">
        <v>55</v>
      </c>
      <c r="H16" s="26" t="s">
        <v>99</v>
      </c>
    </row>
    <row r="17">
      <c r="A17" s="17"/>
      <c r="B17" s="30"/>
      <c r="C17" s="21"/>
      <c r="D17" s="21"/>
      <c r="E17" s="21"/>
      <c r="F17" s="21"/>
      <c r="G17" s="21"/>
      <c r="H17" s="31"/>
    </row>
    <row r="18">
      <c r="A18" s="26" t="s">
        <v>101</v>
      </c>
      <c r="B18" s="33"/>
      <c r="C18" s="35"/>
      <c r="D18" s="35"/>
      <c r="E18" s="35"/>
      <c r="F18" s="35"/>
      <c r="G18" s="35"/>
      <c r="H18" s="31"/>
    </row>
    <row r="19">
      <c r="A19" s="35"/>
      <c r="B19" s="30"/>
      <c r="C19" s="21"/>
      <c r="D19" s="21"/>
      <c r="E19" s="21"/>
      <c r="F19" s="21"/>
      <c r="G19" s="21"/>
      <c r="H19" s="31"/>
    </row>
    <row r="20">
      <c r="A20" s="17"/>
      <c r="B20" s="30"/>
      <c r="C20" s="21"/>
      <c r="D20" s="21"/>
      <c r="E20" s="21"/>
      <c r="F20" s="21"/>
      <c r="G20" s="21"/>
      <c r="H20" s="31"/>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75.63"/>
  </cols>
  <sheetData>
    <row r="1">
      <c r="A1" s="4" t="s">
        <v>2</v>
      </c>
      <c r="B1" s="7" t="s">
        <v>9</v>
      </c>
    </row>
    <row r="2">
      <c r="A2" s="12"/>
      <c r="B2" s="13"/>
    </row>
    <row r="3">
      <c r="A3" s="15" t="s">
        <v>20</v>
      </c>
      <c r="B3" s="7" t="s">
        <v>28</v>
      </c>
    </row>
    <row r="4">
      <c r="A4" s="12"/>
      <c r="B4" s="13"/>
    </row>
    <row r="5">
      <c r="A5" s="15" t="s">
        <v>34</v>
      </c>
      <c r="B5" s="7" t="s">
        <v>38</v>
      </c>
    </row>
    <row r="6">
      <c r="A6" s="12"/>
      <c r="B6" s="13"/>
    </row>
    <row r="7">
      <c r="A7" s="15" t="s">
        <v>42</v>
      </c>
      <c r="B7" s="7" t="s">
        <v>44</v>
      </c>
    </row>
    <row r="8">
      <c r="A8" s="12"/>
      <c r="B8" s="13"/>
    </row>
    <row r="9">
      <c r="A9" s="15" t="s">
        <v>47</v>
      </c>
      <c r="B9" s="7" t="s">
        <v>49</v>
      </c>
    </row>
    <row r="10">
      <c r="A10" s="12"/>
      <c r="B10" s="13"/>
    </row>
    <row r="11">
      <c r="A11" s="15" t="s">
        <v>52</v>
      </c>
      <c r="B11" s="7" t="s">
        <v>54</v>
      </c>
    </row>
    <row r="12">
      <c r="A12" s="13"/>
      <c r="B12" s="13"/>
    </row>
    <row r="13">
      <c r="A13" s="15" t="s">
        <v>59</v>
      </c>
      <c r="B13" s="7" t="s">
        <v>61</v>
      </c>
    </row>
    <row r="14">
      <c r="A14" s="13"/>
      <c r="B14" s="13"/>
    </row>
    <row r="15">
      <c r="A15" s="20" t="s">
        <v>64</v>
      </c>
      <c r="B15" s="7" t="s">
        <v>70</v>
      </c>
    </row>
    <row r="16">
      <c r="A16" s="13"/>
      <c r="B16" s="13"/>
    </row>
    <row r="17">
      <c r="A17" s="20" t="s">
        <v>71</v>
      </c>
      <c r="B17" s="7" t="s">
        <v>72</v>
      </c>
    </row>
    <row r="18">
      <c r="A18" s="13"/>
      <c r="B18" s="13"/>
    </row>
    <row r="19">
      <c r="A19" s="15" t="s">
        <v>73</v>
      </c>
      <c r="B19" s="7"/>
    </row>
    <row r="21">
      <c r="A21" s="22" t="s">
        <v>36</v>
      </c>
      <c r="B21" s="9" t="s">
        <v>74</v>
      </c>
    </row>
    <row r="22">
      <c r="A22" s="22" t="s">
        <v>75</v>
      </c>
      <c r="B22" s="9" t="s">
        <v>76</v>
      </c>
    </row>
    <row r="23">
      <c r="A23" s="22" t="s">
        <v>75</v>
      </c>
      <c r="B23" s="9" t="s">
        <v>77</v>
      </c>
    </row>
    <row r="24">
      <c r="A24" s="22" t="s">
        <v>78</v>
      </c>
      <c r="B24" s="9" t="s">
        <v>79</v>
      </c>
    </row>
    <row r="25">
      <c r="A25" s="22" t="s">
        <v>78</v>
      </c>
      <c r="B25" s="9" t="s">
        <v>80</v>
      </c>
    </row>
    <row r="26">
      <c r="A26" s="22" t="s">
        <v>78</v>
      </c>
      <c r="B26" s="9" t="s">
        <v>81</v>
      </c>
    </row>
    <row r="27">
      <c r="A27" s="22" t="s">
        <v>78</v>
      </c>
      <c r="B27" s="9" t="s">
        <v>82</v>
      </c>
    </row>
    <row r="28">
      <c r="A28" s="22" t="s">
        <v>78</v>
      </c>
      <c r="B28" s="9" t="s">
        <v>83</v>
      </c>
    </row>
    <row r="29">
      <c r="A29" s="22" t="s">
        <v>78</v>
      </c>
      <c r="B29" s="9" t="s">
        <v>84</v>
      </c>
    </row>
  </sheetData>
  <drawing r:id="rId4"/>
  <legacyDrawing r:id="rId5"/>
  <tableParts count="1">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29" t="s">
        <v>97</v>
      </c>
      <c r="B1" s="29" t="s">
        <v>100</v>
      </c>
    </row>
    <row r="2">
      <c r="A2" s="32"/>
      <c r="B2" s="34"/>
    </row>
    <row r="3">
      <c r="A3" s="36" t="s">
        <v>103</v>
      </c>
      <c r="B3" s="36" t="s">
        <v>106</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38" t="s">
        <v>113</v>
      </c>
      <c r="B1" s="38" t="s">
        <v>114</v>
      </c>
    </row>
    <row r="2">
      <c r="A2" s="8"/>
      <c r="B2" s="8"/>
    </row>
    <row r="3">
      <c r="A3" s="8"/>
      <c r="B3" s="8"/>
    </row>
    <row r="4">
      <c r="A4" s="8"/>
      <c r="B4" s="8"/>
    </row>
    <row r="5">
      <c r="A5" s="8"/>
      <c r="B5" s="8"/>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115</v>
      </c>
      <c r="B1" s="11" t="s">
        <v>116</v>
      </c>
    </row>
    <row r="2">
      <c r="A2" s="40">
        <v>1.0</v>
      </c>
      <c r="B2" s="5" t="s">
        <v>117</v>
      </c>
    </row>
    <row r="3">
      <c r="A3" s="40">
        <f t="shared" ref="A3:A15" si="1">A2+1</f>
        <v>2</v>
      </c>
      <c r="B3" s="5" t="s">
        <v>118</v>
      </c>
    </row>
    <row r="4">
      <c r="A4" s="40">
        <f t="shared" si="1"/>
        <v>3</v>
      </c>
      <c r="B4" s="5" t="s">
        <v>118</v>
      </c>
    </row>
    <row r="5">
      <c r="A5" s="40">
        <f t="shared" si="1"/>
        <v>4</v>
      </c>
      <c r="B5" s="9" t="s">
        <v>119</v>
      </c>
    </row>
    <row r="6">
      <c r="A6" s="40">
        <f t="shared" si="1"/>
        <v>5</v>
      </c>
      <c r="B6" s="5" t="s">
        <v>120</v>
      </c>
    </row>
    <row r="7">
      <c r="A7" s="40">
        <f t="shared" si="1"/>
        <v>6</v>
      </c>
      <c r="B7" s="8"/>
    </row>
    <row r="8">
      <c r="A8" s="40">
        <f t="shared" si="1"/>
        <v>7</v>
      </c>
      <c r="B8" s="8"/>
    </row>
    <row r="9">
      <c r="A9" s="40">
        <f t="shared" si="1"/>
        <v>8</v>
      </c>
      <c r="B9" s="8"/>
    </row>
    <row r="10">
      <c r="A10" s="40">
        <f t="shared" si="1"/>
        <v>9</v>
      </c>
      <c r="B10" s="8"/>
    </row>
    <row r="11">
      <c r="A11" s="40">
        <f t="shared" si="1"/>
        <v>10</v>
      </c>
      <c r="B11" s="8"/>
    </row>
    <row r="12">
      <c r="A12" s="40">
        <f t="shared" si="1"/>
        <v>11</v>
      </c>
      <c r="B12" s="8"/>
    </row>
    <row r="13">
      <c r="A13" s="40">
        <f t="shared" si="1"/>
        <v>12</v>
      </c>
      <c r="B13" s="8"/>
    </row>
    <row r="14">
      <c r="A14" s="40">
        <f t="shared" si="1"/>
        <v>13</v>
      </c>
      <c r="B14" s="8"/>
    </row>
    <row r="15">
      <c r="A15" s="40">
        <f t="shared" si="1"/>
        <v>14</v>
      </c>
      <c r="B15" s="8"/>
    </row>
    <row r="16">
      <c r="A16" s="40"/>
      <c r="B16" s="8"/>
    </row>
    <row r="17">
      <c r="A17" s="40"/>
      <c r="B17" s="8"/>
    </row>
    <row r="18">
      <c r="A18" s="40"/>
      <c r="B18" s="8"/>
    </row>
    <row r="19">
      <c r="A19" s="41"/>
      <c r="B19" s="8"/>
    </row>
    <row r="20">
      <c r="A20" s="41"/>
      <c r="B20" s="8"/>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42" t="s">
        <v>15</v>
      </c>
      <c r="B1" s="43" t="s">
        <v>122</v>
      </c>
      <c r="C1" s="43" t="s">
        <v>123</v>
      </c>
      <c r="D1" s="44" t="s">
        <v>124</v>
      </c>
    </row>
    <row r="2">
      <c r="A2" s="8"/>
      <c r="B2" s="8"/>
      <c r="C2" s="8"/>
      <c r="D2" s="8"/>
    </row>
    <row r="3">
      <c r="A3" s="8"/>
      <c r="B3" s="8"/>
      <c r="C3" s="8"/>
      <c r="D3" s="8"/>
    </row>
    <row r="4">
      <c r="A4" s="8"/>
      <c r="B4" s="8"/>
      <c r="C4" s="8"/>
      <c r="D4" s="8"/>
    </row>
    <row r="5">
      <c r="A5" s="8"/>
      <c r="B5" s="8"/>
      <c r="C5" s="8"/>
      <c r="D5" s="8"/>
    </row>
    <row r="6">
      <c r="A6" s="8"/>
      <c r="B6" s="8"/>
      <c r="C6" s="8"/>
      <c r="D6" s="8"/>
    </row>
    <row r="7">
      <c r="A7" s="8"/>
      <c r="B7" s="8"/>
      <c r="C7" s="8"/>
      <c r="D7" s="8"/>
    </row>
    <row r="8">
      <c r="A8" s="8"/>
      <c r="B8" s="8"/>
      <c r="C8" s="8"/>
      <c r="D8" s="8"/>
    </row>
    <row r="9">
      <c r="A9" s="8"/>
      <c r="B9" s="8"/>
      <c r="C9" s="8"/>
      <c r="D9" s="8"/>
    </row>
    <row r="10">
      <c r="A10" s="8"/>
      <c r="B10" s="8"/>
      <c r="C10" s="8"/>
      <c r="D10" s="8"/>
    </row>
    <row r="11">
      <c r="A11" s="8"/>
      <c r="B11" s="8"/>
      <c r="C11" s="8"/>
      <c r="D11" s="8"/>
    </row>
    <row r="12">
      <c r="A12" s="8"/>
      <c r="B12" s="8"/>
      <c r="C12" s="8"/>
      <c r="D12" s="8"/>
    </row>
    <row r="13">
      <c r="A13" s="8"/>
      <c r="B13" s="8"/>
      <c r="C13" s="8"/>
      <c r="D13" s="8"/>
    </row>
    <row r="14">
      <c r="A14" s="8"/>
      <c r="B14" s="8"/>
      <c r="C14" s="8"/>
      <c r="D14" s="8"/>
    </row>
    <row r="15">
      <c r="A15" s="8"/>
      <c r="B15" s="8"/>
      <c r="C15" s="8"/>
      <c r="D15" s="8"/>
    </row>
    <row r="16">
      <c r="A16" s="8"/>
      <c r="B16" s="8"/>
      <c r="C16" s="8"/>
      <c r="D16" s="8"/>
    </row>
    <row r="17">
      <c r="A17" s="8"/>
      <c r="B17" s="8"/>
      <c r="C17" s="8"/>
      <c r="D17" s="8"/>
    </row>
    <row r="18">
      <c r="A18" s="8"/>
      <c r="B18" s="8"/>
      <c r="C18" s="8"/>
      <c r="D18" s="8"/>
    </row>
    <row r="19">
      <c r="A19" s="8"/>
      <c r="B19" s="8"/>
      <c r="C19" s="8"/>
      <c r="D19" s="8"/>
    </row>
    <row r="20">
      <c r="A20" s="8"/>
      <c r="B20" s="8"/>
      <c r="C20" s="8"/>
      <c r="D20" s="8"/>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39" t="s">
        <v>115</v>
      </c>
      <c r="B1" s="11" t="s">
        <v>121</v>
      </c>
    </row>
    <row r="2">
      <c r="A2" s="40">
        <v>1.0</v>
      </c>
      <c r="B2" s="5">
        <v>0.0</v>
      </c>
    </row>
    <row r="3">
      <c r="A3" s="40">
        <f t="shared" ref="A3:A15" si="1">A2+1</f>
        <v>2</v>
      </c>
      <c r="B3" s="5">
        <v>0.0</v>
      </c>
    </row>
    <row r="4">
      <c r="A4" s="40">
        <f t="shared" si="1"/>
        <v>3</v>
      </c>
      <c r="B4" s="5">
        <v>0.0</v>
      </c>
    </row>
    <row r="5">
      <c r="A5" s="40">
        <f t="shared" si="1"/>
        <v>4</v>
      </c>
      <c r="B5" s="9">
        <v>0.0</v>
      </c>
    </row>
    <row r="6">
      <c r="A6" s="40">
        <f t="shared" si="1"/>
        <v>5</v>
      </c>
      <c r="B6" s="5">
        <v>0.0</v>
      </c>
    </row>
    <row r="7">
      <c r="A7" s="40">
        <f t="shared" si="1"/>
        <v>6</v>
      </c>
      <c r="B7" s="5">
        <v>0.0</v>
      </c>
    </row>
    <row r="8">
      <c r="A8" s="40">
        <f t="shared" si="1"/>
        <v>7</v>
      </c>
      <c r="B8" s="5">
        <v>0.0</v>
      </c>
    </row>
    <row r="9">
      <c r="A9" s="40">
        <f t="shared" si="1"/>
        <v>8</v>
      </c>
      <c r="B9" s="5">
        <v>0.0</v>
      </c>
    </row>
    <row r="10">
      <c r="A10" s="40">
        <f t="shared" si="1"/>
        <v>9</v>
      </c>
      <c r="B10" s="5">
        <v>0.0</v>
      </c>
    </row>
    <row r="11">
      <c r="A11" s="40">
        <f t="shared" si="1"/>
        <v>10</v>
      </c>
      <c r="B11" s="5">
        <v>0.0</v>
      </c>
    </row>
    <row r="12">
      <c r="A12" s="40">
        <f t="shared" si="1"/>
        <v>11</v>
      </c>
      <c r="B12" s="5">
        <v>0.0</v>
      </c>
    </row>
    <row r="13">
      <c r="A13" s="40">
        <f t="shared" si="1"/>
        <v>12</v>
      </c>
      <c r="B13" s="5">
        <v>0.0</v>
      </c>
    </row>
    <row r="14">
      <c r="A14" s="40">
        <f t="shared" si="1"/>
        <v>13</v>
      </c>
      <c r="B14" s="5">
        <v>0.0</v>
      </c>
    </row>
    <row r="15">
      <c r="A15" s="40">
        <f t="shared" si="1"/>
        <v>14</v>
      </c>
      <c r="B15" s="5">
        <v>0.0</v>
      </c>
    </row>
    <row r="16">
      <c r="A16" s="40"/>
      <c r="B16" s="5"/>
    </row>
    <row r="17">
      <c r="A17" s="40"/>
      <c r="B17" s="8"/>
    </row>
    <row r="18">
      <c r="A18" s="41"/>
      <c r="B18" s="8"/>
    </row>
    <row r="19">
      <c r="A19" s="41"/>
      <c r="B19" s="8"/>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6.38"/>
    <col customWidth="1" min="4" max="4" width="62.63"/>
    <col customWidth="1" min="5" max="8" width="15.75"/>
  </cols>
  <sheetData>
    <row r="1">
      <c r="A1" s="45" t="s">
        <v>125</v>
      </c>
      <c r="B1" s="44" t="s">
        <v>126</v>
      </c>
      <c r="C1" s="43" t="s">
        <v>127</v>
      </c>
      <c r="D1" s="46" t="s">
        <v>128</v>
      </c>
      <c r="E1" s="47" t="s">
        <v>129</v>
      </c>
      <c r="F1" s="47" t="s">
        <v>130</v>
      </c>
      <c r="G1" s="47" t="s">
        <v>131</v>
      </c>
      <c r="H1" s="47" t="s">
        <v>132</v>
      </c>
    </row>
    <row r="2">
      <c r="A2" s="50"/>
      <c r="B2" s="51"/>
      <c r="C2" s="51"/>
      <c r="D2" s="52"/>
      <c r="E2" s="52"/>
      <c r="F2" s="52"/>
      <c r="G2" s="52"/>
      <c r="H2" s="52"/>
    </row>
    <row r="3">
      <c r="A3" s="53" t="s">
        <v>133</v>
      </c>
      <c r="B3" s="54"/>
      <c r="C3" s="54"/>
      <c r="D3" s="55"/>
      <c r="E3" s="55"/>
      <c r="F3" s="55"/>
      <c r="G3" s="55"/>
      <c r="H3" s="55"/>
    </row>
    <row r="4">
      <c r="A4" s="50"/>
      <c r="B4" s="51"/>
      <c r="C4" s="51"/>
      <c r="D4" s="52"/>
      <c r="E4" s="52"/>
      <c r="F4" s="52"/>
      <c r="G4" s="52"/>
      <c r="H4" s="52"/>
    </row>
    <row r="5">
      <c r="A5" s="56" t="s">
        <v>134</v>
      </c>
      <c r="B5" s="57"/>
      <c r="C5" s="57"/>
      <c r="D5" s="13"/>
      <c r="E5" s="58">
        <f>sum(E8:E13)</f>
        <v>0</v>
      </c>
      <c r="F5" s="58">
        <f>E5</f>
        <v>0</v>
      </c>
      <c r="G5" s="13"/>
      <c r="H5" s="13"/>
    </row>
    <row r="6">
      <c r="A6" s="50"/>
      <c r="B6" s="51"/>
      <c r="C6" s="51"/>
      <c r="D6" s="52"/>
      <c r="E6" s="52"/>
      <c r="F6" s="52"/>
      <c r="G6" s="52"/>
      <c r="H6" s="52"/>
    </row>
    <row r="7">
      <c r="A7" s="59" t="s">
        <v>135</v>
      </c>
      <c r="B7" s="61"/>
      <c r="C7" s="61"/>
      <c r="D7" s="62"/>
      <c r="E7" s="62"/>
      <c r="F7" s="62"/>
      <c r="G7" s="62"/>
      <c r="H7" s="62"/>
    </row>
    <row r="8">
      <c r="A8" s="50"/>
      <c r="B8" s="51"/>
      <c r="C8" s="51"/>
      <c r="D8" s="52"/>
      <c r="E8" s="52"/>
      <c r="F8" s="63" t="s">
        <v>136</v>
      </c>
      <c r="G8" s="52"/>
      <c r="H8" s="63" t="s">
        <v>137</v>
      </c>
    </row>
    <row r="9">
      <c r="A9" s="64">
        <v>1.0</v>
      </c>
      <c r="B9" s="56"/>
      <c r="C9" s="56"/>
      <c r="D9" s="13"/>
      <c r="E9" s="58">
        <f>sum(E16:E21)</f>
        <v>0</v>
      </c>
      <c r="F9" s="58">
        <f>$E$5</f>
        <v>0</v>
      </c>
      <c r="G9" s="58">
        <f>sum(G16:G21)</f>
        <v>0</v>
      </c>
      <c r="H9" s="58">
        <f>$E$5</f>
        <v>0</v>
      </c>
    </row>
    <row r="10">
      <c r="A10" s="50">
        <f t="shared" ref="A10:A11" si="1">A9+1</f>
        <v>2</v>
      </c>
      <c r="B10" s="51"/>
      <c r="C10" s="51"/>
      <c r="D10" s="52"/>
      <c r="E10" s="65">
        <f>sum(E22:E27)</f>
        <v>0</v>
      </c>
      <c r="F10" s="65">
        <f t="shared" ref="F10:F12" si="2">F9-E9</f>
        <v>0</v>
      </c>
      <c r="G10" s="65">
        <f>sum(G22:G27)</f>
        <v>0</v>
      </c>
      <c r="H10" s="65">
        <f t="shared" ref="H10:H12" si="3">H9-G9</f>
        <v>0</v>
      </c>
    </row>
    <row r="11">
      <c r="A11" s="64">
        <f t="shared" si="1"/>
        <v>3</v>
      </c>
      <c r="B11" s="56"/>
      <c r="C11" s="56"/>
      <c r="D11" s="13"/>
      <c r="E11" s="58">
        <f>sum(E28:E33)</f>
        <v>0</v>
      </c>
      <c r="F11" s="58">
        <f t="shared" si="2"/>
        <v>0</v>
      </c>
      <c r="G11" s="58">
        <f>sum(G28:G33)</f>
        <v>0</v>
      </c>
      <c r="H11" s="58">
        <f t="shared" si="3"/>
        <v>0</v>
      </c>
    </row>
    <row r="12">
      <c r="A12" s="66" t="s">
        <v>86</v>
      </c>
      <c r="B12" s="67"/>
      <c r="C12" s="67"/>
      <c r="D12" s="52"/>
      <c r="E12" s="52"/>
      <c r="F12" s="65">
        <f t="shared" si="2"/>
        <v>0</v>
      </c>
      <c r="G12" s="52"/>
      <c r="H12" s="65">
        <f t="shared" si="3"/>
        <v>0</v>
      </c>
    </row>
    <row r="13">
      <c r="A13" s="64"/>
      <c r="B13" s="56"/>
      <c r="C13" s="56"/>
      <c r="D13" s="13"/>
      <c r="E13" s="13"/>
      <c r="F13" s="13"/>
      <c r="G13" s="13"/>
      <c r="H13" s="13"/>
    </row>
    <row r="14">
      <c r="A14" s="68" t="s">
        <v>138</v>
      </c>
      <c r="B14" s="69"/>
      <c r="C14" s="69"/>
      <c r="D14" s="70"/>
      <c r="E14" s="70"/>
      <c r="F14" s="70"/>
      <c r="G14" s="70"/>
      <c r="H14" s="70"/>
    </row>
    <row r="15">
      <c r="A15" s="64"/>
      <c r="B15" s="56"/>
      <c r="C15" s="56"/>
      <c r="D15" s="13"/>
      <c r="E15" s="13"/>
      <c r="F15" s="13"/>
      <c r="G15" s="13"/>
      <c r="H15" s="13"/>
    </row>
    <row r="16">
      <c r="A16" s="71">
        <f>A9</f>
        <v>1</v>
      </c>
      <c r="B16" s="72"/>
      <c r="C16" s="72" t="str">
        <f>C9</f>
        <v/>
      </c>
      <c r="D16" s="52"/>
      <c r="E16" s="52"/>
      <c r="F16" s="52"/>
      <c r="G16" s="52"/>
      <c r="H16" s="52"/>
    </row>
    <row r="17">
      <c r="A17" s="64"/>
      <c r="B17" s="73"/>
      <c r="C17" s="73"/>
      <c r="D17" s="13"/>
      <c r="E17" s="13"/>
      <c r="F17" s="13"/>
      <c r="G17" s="13"/>
      <c r="H17" s="13"/>
    </row>
    <row r="18">
      <c r="A18" s="50"/>
      <c r="B18" s="51"/>
      <c r="C18" s="51"/>
      <c r="D18" s="67"/>
      <c r="E18" s="75"/>
      <c r="F18" s="51"/>
      <c r="G18" s="75"/>
      <c r="H18" s="51"/>
    </row>
    <row r="19">
      <c r="A19" s="64"/>
      <c r="B19" s="73"/>
      <c r="C19" s="73"/>
      <c r="D19" s="13"/>
      <c r="E19" s="58"/>
      <c r="F19" s="13"/>
      <c r="G19" s="58"/>
      <c r="H19" s="13"/>
    </row>
    <row r="20">
      <c r="A20" s="76"/>
      <c r="B20" s="67"/>
      <c r="C20" s="67"/>
      <c r="D20" s="67"/>
      <c r="E20" s="65"/>
      <c r="F20" s="67"/>
      <c r="G20" s="65"/>
      <c r="H20" s="67"/>
    </row>
    <row r="21">
      <c r="A21" s="64"/>
      <c r="B21" s="73"/>
      <c r="C21" s="73"/>
      <c r="D21" s="13"/>
      <c r="E21" s="58"/>
      <c r="F21" s="13"/>
      <c r="G21" s="58"/>
      <c r="H21" s="13"/>
    </row>
    <row r="22">
      <c r="A22" s="71">
        <f>A10</f>
        <v>2</v>
      </c>
      <c r="B22" s="72"/>
      <c r="C22" s="72" t="str">
        <f>C10</f>
        <v/>
      </c>
      <c r="D22" s="52"/>
      <c r="E22" s="52"/>
      <c r="F22" s="52"/>
      <c r="G22" s="52"/>
      <c r="H22" s="52"/>
    </row>
    <row r="23">
      <c r="A23" s="64"/>
      <c r="B23" s="73"/>
      <c r="C23" s="73"/>
      <c r="D23" s="13"/>
      <c r="E23" s="13"/>
      <c r="F23" s="13"/>
      <c r="G23" s="13"/>
      <c r="H23" s="13"/>
    </row>
    <row r="24">
      <c r="A24" s="76"/>
      <c r="B24" s="67"/>
      <c r="C24" s="67"/>
      <c r="D24" s="67"/>
      <c r="E24" s="65"/>
      <c r="F24" s="67"/>
      <c r="G24" s="65"/>
      <c r="H24" s="67"/>
    </row>
    <row r="25">
      <c r="A25" s="64"/>
      <c r="B25" s="73"/>
      <c r="C25" s="73"/>
      <c r="D25" s="13"/>
      <c r="E25" s="58"/>
      <c r="F25" s="13"/>
      <c r="G25" s="58"/>
      <c r="H25" s="13"/>
    </row>
    <row r="26">
      <c r="A26" s="76"/>
      <c r="B26" s="67"/>
      <c r="C26" s="67"/>
      <c r="D26" s="67"/>
      <c r="E26" s="65"/>
      <c r="F26" s="67"/>
      <c r="G26" s="65"/>
      <c r="H26" s="67"/>
    </row>
    <row r="27">
      <c r="A27" s="64"/>
      <c r="B27" s="73"/>
      <c r="C27" s="73"/>
      <c r="D27" s="13"/>
      <c r="E27" s="58"/>
      <c r="F27" s="13"/>
      <c r="G27" s="58"/>
      <c r="H27" s="13"/>
    </row>
    <row r="28">
      <c r="A28" s="71">
        <f>A11</f>
        <v>3</v>
      </c>
      <c r="B28" s="72"/>
      <c r="C28" s="72" t="str">
        <f>C11</f>
        <v/>
      </c>
      <c r="D28" s="52"/>
      <c r="E28" s="52"/>
      <c r="F28" s="52"/>
      <c r="G28" s="52"/>
      <c r="H28" s="52"/>
    </row>
    <row r="29">
      <c r="A29" s="64"/>
      <c r="B29" s="73"/>
      <c r="C29" s="73"/>
      <c r="D29" s="13"/>
      <c r="E29" s="13"/>
      <c r="F29" s="13"/>
      <c r="G29" s="13"/>
      <c r="H29" s="13"/>
    </row>
    <row r="30">
      <c r="A30" s="76"/>
      <c r="B30" s="67"/>
      <c r="C30" s="67"/>
      <c r="D30" s="67"/>
      <c r="E30" s="65"/>
      <c r="F30" s="67"/>
      <c r="G30" s="67"/>
      <c r="H30" s="67"/>
    </row>
    <row r="31">
      <c r="A31" s="64"/>
      <c r="B31" s="73"/>
      <c r="C31" s="73"/>
      <c r="D31" s="13"/>
      <c r="E31" s="58"/>
      <c r="F31" s="13"/>
      <c r="G31" s="13"/>
      <c r="H31" s="13"/>
    </row>
    <row r="32">
      <c r="A32" s="76"/>
      <c r="B32" s="67"/>
      <c r="C32" s="67"/>
      <c r="D32" s="52"/>
      <c r="E32" s="65"/>
      <c r="F32" s="67"/>
      <c r="G32" s="67"/>
      <c r="H32" s="67"/>
    </row>
    <row r="33">
      <c r="A33" s="64"/>
      <c r="B33" s="73"/>
      <c r="C33" s="73"/>
      <c r="D33" s="77" t="s">
        <v>139</v>
      </c>
      <c r="E33" s="58"/>
      <c r="F33" s="13"/>
      <c r="G33" s="13"/>
      <c r="H33" s="13"/>
    </row>
    <row r="34">
      <c r="A34" s="76"/>
      <c r="B34" s="67"/>
      <c r="C34" s="67"/>
      <c r="D34" s="52"/>
      <c r="E34" s="52"/>
      <c r="F34" s="52"/>
      <c r="G34" s="52"/>
      <c r="H34" s="5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3" width="6.38"/>
    <col customWidth="1" min="4" max="4" width="62.63"/>
    <col customWidth="1" min="5" max="8" width="15.75"/>
  </cols>
  <sheetData>
    <row r="1">
      <c r="A1" s="45" t="s">
        <v>125</v>
      </c>
      <c r="B1" s="48" t="s">
        <v>126</v>
      </c>
      <c r="C1" s="49" t="s">
        <v>127</v>
      </c>
      <c r="D1" s="46" t="s">
        <v>128</v>
      </c>
      <c r="E1" s="47" t="s">
        <v>129</v>
      </c>
      <c r="F1" s="47" t="s">
        <v>130</v>
      </c>
      <c r="G1" s="47" t="s">
        <v>131</v>
      </c>
      <c r="H1" s="47" t="s">
        <v>132</v>
      </c>
    </row>
    <row r="2">
      <c r="A2" s="50"/>
      <c r="B2" s="52"/>
      <c r="C2" s="52"/>
      <c r="D2" s="52"/>
      <c r="E2" s="52"/>
      <c r="F2" s="52"/>
      <c r="G2" s="52"/>
      <c r="H2" s="52"/>
    </row>
    <row r="3">
      <c r="A3" s="53" t="s">
        <v>133</v>
      </c>
      <c r="B3" s="55"/>
      <c r="C3" s="55"/>
      <c r="D3" s="55"/>
      <c r="E3" s="55"/>
      <c r="F3" s="55"/>
      <c r="G3" s="55"/>
      <c r="H3" s="55"/>
    </row>
    <row r="4">
      <c r="A4" s="50"/>
      <c r="B4" s="52"/>
      <c r="C4" s="52"/>
      <c r="D4" s="52"/>
      <c r="E4" s="52"/>
      <c r="F4" s="52"/>
      <c r="G4" s="52"/>
      <c r="H4" s="52"/>
    </row>
    <row r="5">
      <c r="A5" s="56" t="s">
        <v>134</v>
      </c>
      <c r="B5" s="13"/>
      <c r="C5" s="13"/>
      <c r="D5" s="13"/>
      <c r="E5" s="58">
        <f>sum(E8:E13)</f>
        <v>0</v>
      </c>
      <c r="F5" s="58">
        <f>E5</f>
        <v>0</v>
      </c>
      <c r="G5" s="13"/>
      <c r="H5" s="13"/>
    </row>
    <row r="6">
      <c r="A6" s="50"/>
      <c r="B6" s="52"/>
      <c r="C6" s="52"/>
      <c r="D6" s="52"/>
      <c r="E6" s="52"/>
      <c r="F6" s="52"/>
      <c r="G6" s="52"/>
      <c r="H6" s="52"/>
    </row>
    <row r="7">
      <c r="A7" s="59" t="s">
        <v>135</v>
      </c>
      <c r="B7" s="60"/>
      <c r="C7" s="60"/>
      <c r="D7" s="62"/>
      <c r="E7" s="62"/>
      <c r="F7" s="62"/>
      <c r="G7" s="62"/>
      <c r="H7" s="62"/>
    </row>
    <row r="8">
      <c r="A8" s="50"/>
      <c r="B8" s="52"/>
      <c r="C8" s="52"/>
      <c r="D8" s="52"/>
      <c r="E8" s="52"/>
      <c r="F8" s="63" t="s">
        <v>136</v>
      </c>
      <c r="G8" s="52"/>
      <c r="H8" s="63" t="s">
        <v>137</v>
      </c>
    </row>
    <row r="9">
      <c r="A9" s="64">
        <v>1.0</v>
      </c>
      <c r="B9" s="13"/>
      <c r="C9" s="13"/>
      <c r="D9" s="13"/>
      <c r="E9" s="58">
        <f>sum(E16:E21)</f>
        <v>0</v>
      </c>
      <c r="F9" s="58">
        <f>$E$5</f>
        <v>0</v>
      </c>
      <c r="G9" s="58">
        <f>sum(G16:G21)</f>
        <v>0</v>
      </c>
      <c r="H9" s="58">
        <f>$E$5</f>
        <v>0</v>
      </c>
    </row>
    <row r="10">
      <c r="A10" s="50">
        <f t="shared" ref="A10:A11" si="1">A9+1</f>
        <v>2</v>
      </c>
      <c r="B10" s="52"/>
      <c r="C10" s="52"/>
      <c r="D10" s="52"/>
      <c r="E10" s="65">
        <f>sum(E22:E27)</f>
        <v>0</v>
      </c>
      <c r="F10" s="65">
        <f t="shared" ref="F10:F12" si="2">F9-E9</f>
        <v>0</v>
      </c>
      <c r="G10" s="65">
        <f>sum(G22:G27)</f>
        <v>0</v>
      </c>
      <c r="H10" s="65">
        <f t="shared" ref="H10:H12" si="3">H9-G9</f>
        <v>0</v>
      </c>
    </row>
    <row r="11">
      <c r="A11" s="64">
        <f t="shared" si="1"/>
        <v>3</v>
      </c>
      <c r="B11" s="13"/>
      <c r="C11" s="13"/>
      <c r="D11" s="13"/>
      <c r="E11" s="58">
        <f>sum(E28:E33)</f>
        <v>0</v>
      </c>
      <c r="F11" s="58">
        <f t="shared" si="2"/>
        <v>0</v>
      </c>
      <c r="G11" s="58">
        <f>sum(G28:G33)</f>
        <v>0</v>
      </c>
      <c r="H11" s="58">
        <f t="shared" si="3"/>
        <v>0</v>
      </c>
    </row>
    <row r="12">
      <c r="A12" s="66" t="s">
        <v>86</v>
      </c>
      <c r="B12" s="52"/>
      <c r="C12" s="52"/>
      <c r="D12" s="52"/>
      <c r="E12" s="52"/>
      <c r="F12" s="65">
        <f t="shared" si="2"/>
        <v>0</v>
      </c>
      <c r="G12" s="52"/>
      <c r="H12" s="65">
        <f t="shared" si="3"/>
        <v>0</v>
      </c>
    </row>
    <row r="13">
      <c r="A13" s="64"/>
      <c r="B13" s="13"/>
      <c r="C13" s="13"/>
      <c r="D13" s="13"/>
      <c r="E13" s="13"/>
      <c r="F13" s="13"/>
      <c r="G13" s="13"/>
      <c r="H13" s="13"/>
    </row>
    <row r="14">
      <c r="A14" s="68" t="s">
        <v>138</v>
      </c>
      <c r="B14" s="69"/>
      <c r="C14" s="69"/>
      <c r="D14" s="70"/>
      <c r="E14" s="70"/>
      <c r="F14" s="70"/>
      <c r="G14" s="70"/>
      <c r="H14" s="70"/>
    </row>
    <row r="15">
      <c r="A15" s="64"/>
      <c r="B15" s="13"/>
      <c r="C15" s="13"/>
      <c r="D15" s="13"/>
      <c r="E15" s="13"/>
      <c r="F15" s="13"/>
      <c r="G15" s="13"/>
      <c r="H15" s="13"/>
    </row>
    <row r="16">
      <c r="A16" s="71">
        <f>A9</f>
        <v>1</v>
      </c>
      <c r="B16" s="52"/>
      <c r="C16" s="52"/>
      <c r="D16" s="52"/>
      <c r="E16" s="52"/>
      <c r="F16" s="52"/>
      <c r="G16" s="52"/>
      <c r="H16" s="52"/>
    </row>
    <row r="17">
      <c r="A17" s="64"/>
      <c r="B17" s="73"/>
      <c r="C17" s="73"/>
      <c r="D17" s="13"/>
      <c r="E17" s="13"/>
      <c r="F17" s="13"/>
      <c r="G17" s="13"/>
      <c r="H17" s="13"/>
    </row>
    <row r="18">
      <c r="A18" s="50"/>
      <c r="B18" s="74"/>
      <c r="C18" s="74"/>
      <c r="D18" s="67"/>
      <c r="E18" s="75"/>
      <c r="F18" s="51"/>
      <c r="G18" s="75"/>
      <c r="H18" s="51"/>
    </row>
    <row r="19">
      <c r="A19" s="64"/>
      <c r="B19" s="13"/>
      <c r="C19" s="13"/>
      <c r="D19" s="13"/>
      <c r="E19" s="58"/>
      <c r="F19" s="13"/>
      <c r="G19" s="58"/>
      <c r="H19" s="13"/>
    </row>
    <row r="20">
      <c r="A20" s="76"/>
      <c r="B20" s="52"/>
      <c r="C20" s="52"/>
      <c r="D20" s="67"/>
      <c r="E20" s="65"/>
      <c r="F20" s="67"/>
      <c r="G20" s="65"/>
      <c r="H20" s="67"/>
    </row>
    <row r="21">
      <c r="A21" s="64"/>
      <c r="B21" s="13"/>
      <c r="C21" s="13"/>
      <c r="D21" s="13"/>
      <c r="E21" s="58"/>
      <c r="F21" s="13"/>
      <c r="G21" s="58"/>
      <c r="H21" s="13"/>
    </row>
    <row r="22">
      <c r="A22" s="71">
        <f>A10</f>
        <v>2</v>
      </c>
      <c r="B22" s="52"/>
      <c r="C22" s="52"/>
      <c r="D22" s="52"/>
      <c r="E22" s="52"/>
      <c r="F22" s="52"/>
      <c r="G22" s="52"/>
      <c r="H22" s="52"/>
    </row>
    <row r="23">
      <c r="A23" s="64"/>
      <c r="B23" s="73"/>
      <c r="C23" s="73"/>
      <c r="D23" s="13"/>
      <c r="E23" s="13"/>
      <c r="F23" s="13"/>
      <c r="G23" s="13"/>
      <c r="H23" s="13"/>
    </row>
    <row r="24">
      <c r="A24" s="76"/>
      <c r="B24" s="52"/>
      <c r="C24" s="52"/>
      <c r="D24" s="67"/>
      <c r="E24" s="65"/>
      <c r="F24" s="67"/>
      <c r="G24" s="65"/>
      <c r="H24" s="67"/>
    </row>
    <row r="25">
      <c r="A25" s="64"/>
      <c r="B25" s="13"/>
      <c r="C25" s="13"/>
      <c r="D25" s="13"/>
      <c r="E25" s="58"/>
      <c r="F25" s="13"/>
      <c r="G25" s="58"/>
      <c r="H25" s="13"/>
    </row>
    <row r="26">
      <c r="A26" s="76"/>
      <c r="B26" s="52"/>
      <c r="C26" s="52"/>
      <c r="D26" s="67"/>
      <c r="E26" s="65"/>
      <c r="F26" s="67"/>
      <c r="G26" s="65"/>
      <c r="H26" s="67"/>
    </row>
    <row r="27">
      <c r="A27" s="64"/>
      <c r="B27" s="13"/>
      <c r="C27" s="13"/>
      <c r="D27" s="13"/>
      <c r="E27" s="58"/>
      <c r="F27" s="13"/>
      <c r="G27" s="58"/>
      <c r="H27" s="13"/>
    </row>
    <row r="28">
      <c r="A28" s="71">
        <f>A11</f>
        <v>3</v>
      </c>
      <c r="B28" s="52"/>
      <c r="C28" s="52"/>
      <c r="D28" s="52"/>
      <c r="E28" s="52"/>
      <c r="F28" s="52"/>
      <c r="G28" s="52"/>
      <c r="H28" s="52"/>
    </row>
    <row r="29">
      <c r="A29" s="64"/>
      <c r="B29" s="73"/>
      <c r="C29" s="73"/>
      <c r="D29" s="13"/>
      <c r="E29" s="13"/>
      <c r="F29" s="13"/>
      <c r="G29" s="13"/>
      <c r="H29" s="13"/>
    </row>
    <row r="30">
      <c r="A30" s="76"/>
      <c r="B30" s="52"/>
      <c r="C30" s="52"/>
      <c r="D30" s="67"/>
      <c r="E30" s="65"/>
      <c r="F30" s="67"/>
      <c r="G30" s="67"/>
      <c r="H30" s="67"/>
    </row>
    <row r="31">
      <c r="A31" s="64"/>
      <c r="B31" s="13"/>
      <c r="C31" s="13"/>
      <c r="D31" s="13"/>
      <c r="E31" s="58"/>
      <c r="F31" s="13"/>
      <c r="G31" s="13"/>
      <c r="H31" s="13"/>
    </row>
    <row r="32">
      <c r="A32" s="76"/>
      <c r="B32" s="52"/>
      <c r="C32" s="52"/>
      <c r="D32" s="52"/>
      <c r="E32" s="65"/>
      <c r="F32" s="67"/>
      <c r="G32" s="67"/>
      <c r="H32" s="67"/>
    </row>
    <row r="33">
      <c r="A33" s="64"/>
      <c r="B33" s="13"/>
      <c r="C33" s="13"/>
      <c r="D33" s="77" t="s">
        <v>139</v>
      </c>
      <c r="E33" s="58"/>
      <c r="F33" s="13"/>
      <c r="G33" s="13"/>
      <c r="H33" s="13"/>
    </row>
    <row r="34">
      <c r="A34" s="76"/>
      <c r="B34" s="52"/>
      <c r="C34" s="52"/>
      <c r="D34" s="52"/>
      <c r="E34" s="52"/>
      <c r="F34" s="52"/>
      <c r="G34" s="52"/>
      <c r="H34" s="52"/>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1" t="s">
        <v>140</v>
      </c>
      <c r="B1" s="11" t="s">
        <v>141</v>
      </c>
    </row>
    <row r="2">
      <c r="A2" s="8"/>
      <c r="B2" s="8"/>
    </row>
    <row r="3">
      <c r="A3" s="8"/>
      <c r="B3" s="8"/>
    </row>
    <row r="4">
      <c r="A4" s="8"/>
      <c r="B4" s="8"/>
    </row>
    <row r="5">
      <c r="A5" s="8"/>
      <c r="B5" s="8"/>
    </row>
    <row r="6">
      <c r="A6" s="8"/>
      <c r="B6" s="8"/>
    </row>
    <row r="7">
      <c r="A7" s="8"/>
      <c r="B7" s="8"/>
    </row>
    <row r="8">
      <c r="A8" s="8"/>
      <c r="B8" s="8"/>
    </row>
    <row r="9">
      <c r="A9" s="8"/>
      <c r="B9" s="8"/>
    </row>
    <row r="10">
      <c r="A10" s="8"/>
      <c r="B10" s="8"/>
    </row>
    <row r="11">
      <c r="A11" s="8"/>
      <c r="B11" s="8"/>
    </row>
    <row r="12">
      <c r="A12" s="8"/>
      <c r="B12" s="8"/>
    </row>
    <row r="13">
      <c r="A13" s="8"/>
      <c r="B13" s="8"/>
    </row>
    <row r="14">
      <c r="A14" s="8"/>
      <c r="B14" s="8"/>
    </row>
    <row r="15">
      <c r="A15" s="8"/>
      <c r="B15" s="8"/>
    </row>
    <row r="16">
      <c r="A16" s="8"/>
      <c r="B16" s="8"/>
    </row>
    <row r="17">
      <c r="A17" s="8"/>
      <c r="B17" s="8"/>
    </row>
    <row r="18">
      <c r="A18" s="8"/>
      <c r="B18" s="8"/>
    </row>
    <row r="19">
      <c r="A19" s="8"/>
      <c r="B19" s="8"/>
    </row>
    <row r="20">
      <c r="A20" s="8"/>
      <c r="B20" s="8"/>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1" t="s">
        <v>15</v>
      </c>
      <c r="B1" s="11" t="s">
        <v>142</v>
      </c>
      <c r="C1" s="11" t="s">
        <v>143</v>
      </c>
      <c r="D1" s="11" t="s">
        <v>144</v>
      </c>
      <c r="E1" s="11" t="s">
        <v>145</v>
      </c>
      <c r="F1" s="11" t="s">
        <v>37</v>
      </c>
    </row>
    <row r="2">
      <c r="A2" s="8"/>
      <c r="B2" s="8"/>
      <c r="C2" s="8"/>
      <c r="D2" s="8"/>
      <c r="E2" s="8"/>
      <c r="F2" s="8"/>
    </row>
    <row r="3">
      <c r="A3" s="8"/>
      <c r="B3" s="8"/>
      <c r="C3" s="8"/>
      <c r="D3" s="8"/>
      <c r="E3" s="8"/>
      <c r="F3" s="8"/>
    </row>
    <row r="4">
      <c r="A4" s="8"/>
      <c r="B4" s="8"/>
      <c r="C4" s="8"/>
      <c r="D4" s="8"/>
      <c r="E4" s="8"/>
      <c r="F4" s="8"/>
    </row>
    <row r="5">
      <c r="A5" s="8"/>
      <c r="B5" s="8"/>
      <c r="C5" s="8"/>
      <c r="D5" s="8"/>
      <c r="E5" s="8"/>
      <c r="F5" s="8"/>
    </row>
    <row r="6">
      <c r="A6" s="8"/>
      <c r="B6" s="8"/>
      <c r="C6" s="8"/>
      <c r="D6" s="8"/>
      <c r="E6" s="8"/>
      <c r="F6" s="8"/>
    </row>
    <row r="7">
      <c r="A7" s="8"/>
      <c r="B7" s="8"/>
      <c r="C7" s="8"/>
      <c r="D7" s="8"/>
      <c r="E7" s="8"/>
      <c r="F7" s="8"/>
    </row>
    <row r="8">
      <c r="A8" s="8"/>
      <c r="B8" s="8"/>
      <c r="C8" s="8"/>
      <c r="D8" s="8"/>
      <c r="E8" s="8"/>
      <c r="F8" s="8"/>
    </row>
    <row r="9">
      <c r="A9" s="8"/>
      <c r="B9" s="8"/>
      <c r="C9" s="8"/>
      <c r="D9" s="8"/>
      <c r="E9" s="8"/>
      <c r="F9" s="8"/>
    </row>
    <row r="10">
      <c r="A10" s="8"/>
      <c r="B10" s="8"/>
      <c r="C10" s="8"/>
      <c r="D10" s="8"/>
      <c r="E10" s="8"/>
      <c r="F10" s="8"/>
    </row>
    <row r="11">
      <c r="A11" s="8"/>
      <c r="B11" s="8"/>
      <c r="C11" s="8"/>
      <c r="D11" s="8"/>
      <c r="E11" s="8"/>
      <c r="F11" s="8"/>
    </row>
    <row r="12">
      <c r="A12" s="8"/>
      <c r="B12" s="8"/>
      <c r="C12" s="8"/>
      <c r="D12" s="8"/>
      <c r="E12" s="8"/>
      <c r="F12" s="8"/>
    </row>
    <row r="13">
      <c r="A13" s="8"/>
      <c r="B13" s="8"/>
      <c r="C13" s="8"/>
      <c r="D13" s="8"/>
      <c r="E13" s="8"/>
      <c r="F13" s="8"/>
    </row>
    <row r="14">
      <c r="A14" s="8"/>
      <c r="B14" s="8"/>
      <c r="C14" s="8"/>
      <c r="D14" s="8"/>
      <c r="E14" s="8"/>
      <c r="F14" s="8"/>
    </row>
    <row r="15">
      <c r="A15" s="8"/>
      <c r="B15" s="8"/>
      <c r="C15" s="8"/>
      <c r="D15" s="8"/>
      <c r="E15" s="8"/>
      <c r="F15" s="8"/>
    </row>
    <row r="16">
      <c r="A16" s="8"/>
      <c r="B16" s="8"/>
      <c r="C16" s="8"/>
      <c r="D16" s="8"/>
      <c r="E16" s="8"/>
      <c r="F16" s="8"/>
    </row>
    <row r="17">
      <c r="A17" s="8"/>
      <c r="B17" s="8"/>
      <c r="C17" s="8"/>
      <c r="D17" s="8"/>
      <c r="E17" s="8"/>
      <c r="F17" s="8"/>
    </row>
    <row r="18">
      <c r="A18" s="8"/>
      <c r="B18" s="8"/>
      <c r="C18" s="8"/>
      <c r="D18" s="8"/>
      <c r="E18" s="8"/>
      <c r="F18" s="8"/>
    </row>
    <row r="19">
      <c r="A19" s="8"/>
      <c r="B19" s="8"/>
      <c r="C19" s="8"/>
      <c r="D19" s="8"/>
      <c r="E19" s="8"/>
      <c r="F19" s="8"/>
    </row>
    <row r="20">
      <c r="A20" s="8"/>
      <c r="B20" s="8"/>
      <c r="C20" s="8"/>
      <c r="D20" s="8"/>
      <c r="E20" s="8"/>
      <c r="F20" s="8"/>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78" t="str">
        <f>'Project Team'!A1</f>
        <v>Last Name</v>
      </c>
      <c r="B1" s="78" t="str">
        <f>'Project Team'!B1</f>
        <v>First Name</v>
      </c>
      <c r="C1" s="79" t="s">
        <v>146</v>
      </c>
      <c r="D1" s="80"/>
      <c r="E1" s="81"/>
      <c r="F1" s="82"/>
      <c r="G1" s="83"/>
      <c r="H1" s="83"/>
    </row>
    <row r="2">
      <c r="A2" s="84" t="str">
        <f>'Project Team'!A2</f>
        <v>Medeiros da Cruz</v>
      </c>
      <c r="B2" s="85" t="str">
        <f>'Project Team'!B2</f>
        <v>Yan</v>
      </c>
      <c r="C2" s="86">
        <v>0.0</v>
      </c>
      <c r="D2" s="87"/>
      <c r="E2" s="88">
        <f>average(C2:C10)</f>
        <v>0</v>
      </c>
      <c r="F2" s="89" t="str">
        <f>if(stdev(C2:C7) &gt; 0,"NOK", "OK")</f>
        <v>OK</v>
      </c>
      <c r="G2" s="90"/>
      <c r="H2" s="90"/>
    </row>
    <row r="3">
      <c r="A3" s="84" t="str">
        <f>'Project Team'!A3</f>
        <v>Pohl</v>
      </c>
      <c r="B3" s="84" t="str">
        <f>'Project Team'!B3</f>
        <v>Christian</v>
      </c>
      <c r="C3" s="86">
        <v>0.0</v>
      </c>
      <c r="D3" s="91"/>
      <c r="G3" s="92"/>
      <c r="H3" s="92"/>
    </row>
    <row r="4">
      <c r="A4" s="85" t="str">
        <f>'Project Team'!A4</f>
        <v>Wendlinger</v>
      </c>
      <c r="B4" s="85" t="str">
        <f>'Project Team'!B4</f>
        <v>Tom</v>
      </c>
      <c r="C4" s="86">
        <v>0.0</v>
      </c>
      <c r="D4" s="87"/>
      <c r="G4" s="90"/>
      <c r="H4" s="90"/>
    </row>
    <row r="5">
      <c r="A5" s="84" t="str">
        <f>'Project Team'!A5</f>
        <v>Drobischevskiy</v>
      </c>
      <c r="B5" s="84" t="str">
        <f>'Project Team'!B5</f>
        <v>Leonid</v>
      </c>
      <c r="C5" s="86">
        <v>0.0</v>
      </c>
      <c r="D5" s="93"/>
      <c r="E5" s="93"/>
      <c r="F5" s="93"/>
      <c r="G5" s="92"/>
      <c r="H5" s="92"/>
    </row>
    <row r="6">
      <c r="A6" s="85" t="str">
        <f>'Project Team'!A6</f>
        <v>Nadwornik</v>
      </c>
      <c r="B6" s="85" t="str">
        <f>'Project Team'!B6</f>
        <v>Jost</v>
      </c>
      <c r="C6" s="86">
        <v>0.0</v>
      </c>
      <c r="D6" s="94"/>
      <c r="E6" s="95">
        <v>0.0</v>
      </c>
      <c r="F6" s="96" t="s">
        <v>147</v>
      </c>
      <c r="G6" s="90"/>
      <c r="H6" s="90"/>
    </row>
    <row r="7">
      <c r="A7" s="84" t="str">
        <f>'Project Team'!A7</f>
        <v>Tenepo</v>
      </c>
      <c r="B7" s="84" t="str">
        <f>'Project Team'!B7</f>
        <v>Franklin</v>
      </c>
      <c r="C7" s="86">
        <v>0.0</v>
      </c>
      <c r="D7" s="93"/>
      <c r="E7" s="95">
        <v>1.0</v>
      </c>
      <c r="F7" s="96" t="s">
        <v>148</v>
      </c>
      <c r="G7" s="92"/>
      <c r="H7" s="92"/>
    </row>
    <row r="8">
      <c r="A8" s="85" t="str">
        <f>'Project Team'!A8</f>
        <v>Best</v>
      </c>
      <c r="B8" s="85" t="str">
        <f>'Project Team'!B8</f>
        <v>Lisabeth</v>
      </c>
      <c r="C8" s="86">
        <v>0.0</v>
      </c>
      <c r="D8" s="94"/>
      <c r="E8" s="95">
        <v>2.0</v>
      </c>
      <c r="F8" s="96" t="s">
        <v>149</v>
      </c>
      <c r="G8" s="90"/>
      <c r="H8" s="90"/>
    </row>
    <row r="9">
      <c r="A9" s="84" t="str">
        <f>'Project Team'!A9</f>
        <v>Khan</v>
      </c>
      <c r="B9" s="84" t="str">
        <f>'Project Team'!B9</f>
        <v>Gulbaz</v>
      </c>
      <c r="C9" s="86">
        <v>0.0</v>
      </c>
      <c r="D9" s="93"/>
      <c r="E9" s="95">
        <v>3.0</v>
      </c>
      <c r="F9" s="96" t="s">
        <v>150</v>
      </c>
      <c r="G9" s="92"/>
      <c r="H9" s="92"/>
    </row>
    <row r="10">
      <c r="A10" s="85" t="str">
        <f>'Project Team'!A10</f>
        <v>Pasewaldt</v>
      </c>
      <c r="B10" s="85" t="str">
        <f>'Project Team'!B10</f>
        <v>Felix</v>
      </c>
      <c r="C10" s="86">
        <v>0.0</v>
      </c>
      <c r="D10" s="94"/>
      <c r="E10" s="95">
        <v>5.0</v>
      </c>
      <c r="F10" s="96" t="s">
        <v>151</v>
      </c>
      <c r="G10" s="90"/>
      <c r="H10" s="90"/>
    </row>
    <row r="11">
      <c r="A11" s="84"/>
      <c r="B11" s="84"/>
      <c r="C11" s="84"/>
      <c r="D11" s="93"/>
      <c r="E11" s="95">
        <v>8.0</v>
      </c>
      <c r="F11" s="96" t="s">
        <v>152</v>
      </c>
      <c r="G11" s="92"/>
      <c r="H11" s="92"/>
    </row>
    <row r="12">
      <c r="A12" s="85"/>
      <c r="B12" s="85"/>
      <c r="C12" s="94"/>
      <c r="D12" s="94"/>
      <c r="E12" s="95">
        <v>13.0</v>
      </c>
      <c r="F12" s="96" t="s">
        <v>153</v>
      </c>
      <c r="G12" s="90"/>
      <c r="H12" s="90"/>
    </row>
    <row r="13">
      <c r="A13" s="84"/>
      <c r="B13" s="84"/>
      <c r="C13" s="93"/>
      <c r="D13" s="93"/>
      <c r="E13" s="93"/>
      <c r="F13" s="93"/>
      <c r="G13" s="92"/>
      <c r="H13" s="92"/>
    </row>
    <row r="14">
      <c r="A14" s="97" t="s">
        <v>154</v>
      </c>
      <c r="B14" s="98"/>
      <c r="C14" s="98"/>
      <c r="D14" s="98"/>
      <c r="E14" s="98"/>
      <c r="F14" s="98"/>
      <c r="G14" s="98"/>
      <c r="H14" s="98"/>
    </row>
    <row r="15">
      <c r="A15" s="99"/>
      <c r="B15" s="99"/>
      <c r="C15" s="99"/>
      <c r="D15" s="99"/>
      <c r="E15" s="99"/>
      <c r="F15" s="99"/>
      <c r="G15" s="99"/>
      <c r="H15" s="99"/>
    </row>
    <row r="16">
      <c r="A16" s="100" t="s">
        <v>155</v>
      </c>
      <c r="B16" s="101"/>
      <c r="C16" s="101"/>
      <c r="D16" s="101"/>
      <c r="E16" s="101"/>
      <c r="F16" s="101"/>
      <c r="G16" s="101"/>
      <c r="H16" s="101"/>
    </row>
    <row r="17">
      <c r="A17" s="102" t="s">
        <v>156</v>
      </c>
      <c r="B17" s="99"/>
      <c r="C17" s="99"/>
      <c r="D17" s="99"/>
      <c r="E17" s="99"/>
      <c r="F17" s="99"/>
      <c r="G17" s="99"/>
      <c r="H17" s="99"/>
    </row>
    <row r="18">
      <c r="A18" s="100" t="s">
        <v>157</v>
      </c>
      <c r="B18" s="101"/>
      <c r="C18" s="101"/>
      <c r="D18" s="101"/>
      <c r="E18" s="101"/>
      <c r="F18" s="101"/>
      <c r="G18" s="101"/>
      <c r="H18" s="101"/>
    </row>
    <row r="19">
      <c r="A19" s="99"/>
      <c r="B19" s="99"/>
      <c r="C19" s="99"/>
      <c r="D19" s="99"/>
      <c r="E19" s="99"/>
      <c r="F19" s="99"/>
      <c r="G19" s="99"/>
      <c r="H19" s="99"/>
    </row>
    <row r="20">
      <c r="A20" s="101"/>
      <c r="B20" s="101"/>
      <c r="C20" s="101"/>
      <c r="D20" s="101"/>
      <c r="E20" s="101"/>
      <c r="F20" s="101"/>
      <c r="G20" s="101"/>
      <c r="H20" s="10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